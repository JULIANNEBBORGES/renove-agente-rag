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5"/>
    <sheet state="visible" name="META" sheetId="2" r:id="rId6"/>
    <sheet state="visible" name="REFERENCIA PML" sheetId="3" r:id="rId7"/>
    <sheet state="visible" name="CONTROLE" sheetId="4" r:id="rId8"/>
    <sheet state="visible" name="RAFAEL" sheetId="5" r:id="rId9"/>
    <sheet state="visible" name="CAMILA" sheetId="6" r:id="rId10"/>
    <sheet state="visible" name="FERNANDA" sheetId="7" r:id="rId11"/>
    <sheet state="visible" name="BIANCA" sheetId="8" r:id="rId12"/>
    <sheet state="visible" name="BEATRIZ" sheetId="9" r:id="rId13"/>
    <sheet state="visible" name="CAROLINA" sheetId="10" r:id="rId14"/>
    <sheet state="visible" name="AMANDA" sheetId="11" r:id="rId15"/>
    <sheet state="visible" name="PRISCILA" sheetId="12" r:id="rId16"/>
    <sheet state="visible" name="SIMONE" sheetId="13" r:id="rId17"/>
    <sheet state="visible" name="LARISSA" sheetId="14" r:id="rId18"/>
    <sheet state="visible" name="VERA" sheetId="15" r:id="rId19"/>
    <sheet state="visible" name="CONSOLIDADO OPERADOR — MEDIA " sheetId="16" r:id="rId20"/>
    <sheet state="visible" name="ISABELA" sheetId="17" r:id="rId21"/>
    <sheet state="visible" name="MARINA" sheetId="18" r:id="rId2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6">
      <text>
        <t xml:space="preserve">% de pagamentos</t>
      </text>
    </comment>
    <comment authorId="0" ref="M26">
      <text>
        <t xml:space="preserve">% de pagamentos</t>
      </text>
    </comment>
    <comment authorId="0" ref="M57">
      <text>
        <t xml:space="preserve">% de pagamentos</t>
      </text>
    </comment>
    <comment authorId="0" ref="M5">
      <text>
        <t xml:space="preserve">% de pagamentos</t>
      </text>
    </comment>
    <comment authorId="0" ref="M37">
      <text>
        <t xml:space="preserve">% de pagamentos</t>
      </text>
    </comment>
    <comment authorId="0" ref="Q39">
      <text>
        <t xml:space="preserve">Relatorio EGSE</t>
      </text>
    </comment>
    <comment authorId="0" ref="M67">
      <text>
        <t xml:space="preserve">% de pagamentos</t>
      </text>
    </comment>
    <comment authorId="0" ref="M15">
      <text>
        <t xml:space="preserve">% de pagamentos</t>
      </text>
    </comment>
    <comment authorId="0" ref="M47">
      <text>
        <t xml:space="preserve">% de pagamentos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Preço Médio do Operador =
Faturamento ÷ Volume (peças)
Quanto o operador gerou em média por peça atendida</t>
      </text>
    </comment>
    <comment authorId="0" ref="M3">
      <text>
        <t xml:space="preserve">Preço Médio do Operador =
Faturamento ÷ Volume (peças)
Quanto o operador gerou em média por peça atendida</t>
      </text>
    </comment>
    <comment authorId="0" ref="Q3">
      <text>
        <t xml:space="preserve">Preço Médio do Operador =
Faturamento ÷ Volume (peças)
Quanto o operador gerou em média por peça atendida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Faturamento: R$ 11.230,35
Volume: R$ 404</t>
      </text>
    </comment>
    <comment authorId="0" ref="I3">
      <text>
        <t xml:space="preserve">Preço Médio do Operador =
Faturamento ÷ Volume (peças)
Quanto o operador gerou em média por peça atendida</t>
      </text>
    </comment>
    <comment authorId="0" ref="J3">
      <text>
        <t xml:space="preserve">Preço Médio da Loja = PML
PMO  ÷ PML  × 100
Mostra se o operador está acima ou abaixo do preço médio da loja</t>
      </text>
    </comment>
    <comment authorId="0" ref="N3">
      <text>
        <t xml:space="preserve">Preço Médio do Operador =
Faturamento ÷ Volume (peças)
Quanto o operador gerou em média por peça atendida</t>
      </text>
    </comment>
    <comment authorId="0" ref="Q3">
      <text>
        <t xml:space="preserve">Preço Médio do Operador =
Faturamento ÷ Volume (peças)
Quanto o operador gerou em média por peça atendida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">
      <text>
        <t xml:space="preserve">Preço Médio da Loja = PML
PMO  ÷ PML  × 100
Mostra se o operador está acima ou abaixo do preço médio da loja</t>
      </text>
    </comment>
    <comment authorId="0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Valor zerado = falta
</t>
      </text>
    </comment>
    <comment authorId="0" ref="I3">
      <text>
        <t xml:space="preserve">Preço Médio do Operador =
Faturamento ÷ Volume (peças)
Quanto o operador gerou em média por peça atendida</t>
      </text>
    </comment>
    <comment authorId="0" ref="J3">
      <text>
        <t xml:space="preserve">Preço Médio da Loja = PML
PMO  ÷ PML  × 100
Mostra se o operador está acima ou abaixo do preço médio da loja</t>
      </text>
    </comment>
    <comment authorId="0" ref="N3">
      <text>
        <t xml:space="preserve">Preço Médio do Operador =
Faturamento ÷ Volume (peças)
Quanto o operador gerou em média por peça atendida</t>
      </text>
    </comment>
    <comment authorId="0" ref="R3">
      <text>
        <t xml:space="preserve">Preço Médio do Operador =
Faturamento ÷ Volume (peças)
Quanto o operador gerou em média por peça atendida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Faturamento R$ 2.049,50
Volume 121</t>
      </text>
    </comment>
    <comment authorId="0" ref="K8">
      <text>
        <t xml:space="preserve">Faturamento R$ 2.049,50 / R$ 190,00 </t>
      </text>
    </comment>
    <comment authorId="0" ref="H3">
      <text>
        <t xml:space="preserve">Preço Médio do Operador =
Faturamento ÷ Volume (peças)
Quanto o operador gerou em média por peça atendida</t>
      </text>
    </comment>
    <comment authorId="0" ref="I3">
      <text>
        <t xml:space="preserve">Preço Médio da Loja = PML
PMO  ÷ PML  × 100
Mostra se o operador está acima ou abaixo do preço médio da loja</t>
      </text>
    </comment>
    <comment authorId="0" ref="M3">
      <text>
        <t xml:space="preserve">Preço Médio do Operador =
Faturamento ÷ Volume (peças)
Quanto o operador gerou em média por peça atendida</t>
      </text>
    </comment>
    <comment authorId="0" ref="Q3">
      <text>
        <t xml:space="preserve">Preço Médio do Operador =
Faturamento ÷ Volume (peças)
Quanto o operador gerou em média por peça atendida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Preço Médio do Operador =
Faturamento ÷ Volume (peças)
Quanto o operador gerou em média por peça atendida</t>
      </text>
    </comment>
    <comment authorId="0" ref="J3">
      <text>
        <t xml:space="preserve">Preço Médio da Loja = PML
PMO  ÷ PML  × 100
Mostra se o operador está acima ou abaixo do preço médio da loja</t>
      </text>
    </comment>
    <comment authorId="0" ref="L3">
      <text>
        <t xml:space="preserve">Preço Médio do Operador =
Faturamento ÷ Volume (peças)
Quanto o operador gerou em média por peça atendida</t>
      </text>
    </comment>
    <comment authorId="0" ref="M3">
      <text>
        <t xml:space="preserve">Preço Médio da Loja = PML
PMO  ÷ PML  × 100
Mostra se o operador está acima ou abaixo do preço médio da loja</t>
      </text>
    </comment>
    <comment authorId="0" ref="B7">
      <text>
        <t xml:space="preserve">Tícket: 3442</t>
      </text>
    </comment>
    <comment authorId="0" ref="O3">
      <text>
        <t xml:space="preserve">Preço Médio do Operador =
Faturamento ÷ Volume (peças)
Quanto o operador gerou em média por peça atendida</t>
      </text>
    </comment>
    <comment authorId="0" ref="B6">
      <text>
        <t xml:space="preserve">Tickets: 3280, 3287, 3294 e 3298</t>
      </text>
    </comment>
    <comment authorId="0" ref="P3">
      <text>
        <t xml:space="preserve">Preço Médio da Loja = PML
PMO  ÷ PML  × 100
Mostra se o operador está acima ou abaixo do preço médio da loja</t>
      </text>
    </comment>
    <comment authorId="0" ref="B5">
      <text>
        <t xml:space="preserve">Tíckets: 3164 e 3208</t>
      </text>
    </comment>
    <comment authorId="0" ref="B4">
      <text>
        <t xml:space="preserve">Tickets: 3128, 3148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">
      <text>
        <t xml:space="preserve">Preço Médio da Loja = PML
PMO  ÷ PML  × 100
Mostra se o operador está acima ou abaixo do preço médio da loja</t>
      </text>
    </comment>
    <comment authorId="0" ref="G7">
      <text>
        <t xml:space="preserve">Férias
</t>
      </text>
    </comment>
    <comment authorId="0" ref="I7">
      <text>
        <t xml:space="preserve">Venda 1 kit somente</t>
      </text>
    </comment>
    <comment authorId="0" ref="I3">
      <text>
        <t xml:space="preserve">Preço Médio do Operador =
Faturamento ÷ Volume (peças)
Quanto o operador gerou em média por peça atendida</t>
      </text>
    </comment>
    <comment authorId="0" ref="M3">
      <text>
        <t xml:space="preserve">Preço Médio do Operador =
Faturamento ÷ Volume (peças)
Quanto o operador gerou em média por peça atendida</t>
      </text>
    </comment>
    <comment authorId="0" ref="N3">
      <text>
        <t xml:space="preserve">Preço Médio da Loja = PML
PMO  ÷ PML  × 100
Mostra se o operador está acima ou abaixo do preço médio da loja</t>
      </text>
    </comment>
    <comment authorId="0" ref="R3">
      <text>
        <t xml:space="preserve">Preço Médio do Operador =
Faturamento ÷ Volume (peças)
Quanto o operador gerou em média por peça atendida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Faturamento: R$ 24.619,56
Volume:  915</t>
      </text>
    </comment>
    <comment authorId="0" ref="K8">
      <text>
        <t xml:space="preserve">Faturamento: R$ 24.619,56 / 
Pg. Antecipado: R$ 8.483,50
</t>
      </text>
    </comment>
    <comment authorId="0" ref="H3">
      <text>
        <t xml:space="preserve">Preço Médio do Operador =
Faturamento ÷ Volume (peças)
Quanto o operador gerou em média por peça atendida</t>
      </text>
    </comment>
    <comment authorId="0" ref="I3">
      <text>
        <t xml:space="preserve">Preço Médio da Loja = PML
PMO  ÷ PML  × 100
Mostra se o operador está acima ou abaixo do preço médio da loja</t>
      </text>
    </comment>
    <comment authorId="0" ref="M3">
      <text>
        <t xml:space="preserve">Preço Médio do Operador =
Faturamento ÷ Volume (peças)
Quanto o operador gerou em média por peça atendida</t>
      </text>
    </comment>
    <comment authorId="0" ref="P3">
      <text>
        <t xml:space="preserve">Preço Médio do Operador =
Faturamento ÷ Volume (peças)
Quanto o operador gerou em média por peça atendida</t>
      </text>
    </comment>
    <comment authorId="0" ref="Q3">
      <text>
        <t xml:space="preserve">Preço Médio da Loja = PML
PMO  ÷ PML  × 100
Mostra se o operador está acima ou abaixo do preço médio da loja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Preço Médio do Operador =
Faturamento ÷ Volume (peças)
Quanto o operador gerou em média por peça atendida</t>
      </text>
    </comment>
    <comment authorId="0" ref="I3">
      <text>
        <t xml:space="preserve">Preço Médio da Loja = PML
PMO  ÷ PML  × 100
Mostra se o operador está acima ou abaixo do preço médio da loja</t>
      </text>
    </comment>
    <comment authorId="0" ref="M3">
      <text>
        <t xml:space="preserve">Preço Médio do Operador =
Faturamento ÷ Volume (peças)
Quanto o operador gerou em média por peça atendida</t>
      </text>
    </comment>
    <comment authorId="0" ref="B7">
      <text>
        <t xml:space="preserve">Ticket: 3.448</t>
      </text>
    </comment>
    <comment authorId="0" ref="Q3">
      <text>
        <t xml:space="preserve">Preço Médio do Operador =
Faturamento ÷ Volume (peças)
Quanto o operador gerou em média por peça atendida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Valor proporcional aos dias trabalhados, sendo o inicio 16/07.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Preço Médio do Operador =
Faturamento ÷ Volume (peças)
Quanto o operador gerou em média por peça atendida</t>
      </text>
    </comment>
    <comment authorId="0" ref="J3">
      <text>
        <t xml:space="preserve">Preço Médio da Loja = PML
PMO  ÷ PML  × 100
Mostra se o operador está acima ou abaixo do preço médio da loja</t>
      </text>
    </comment>
    <comment authorId="0" ref="L3">
      <text>
        <t xml:space="preserve">Preço Médio do Operador =
Faturamento ÷ Volume (peças)
Quanto o operador gerou em média por peça atendida</t>
      </text>
    </comment>
    <comment authorId="0" ref="M3">
      <text>
        <t xml:space="preserve">Preço Médio da Loja = PML
PMO  ÷ PML  × 100
Mostra se o operador está acima ou abaixo do preço médio da loja</t>
      </text>
    </comment>
    <comment authorId="0" ref="P3">
      <text>
        <t xml:space="preserve">Preço Médio do Operador =
Faturamento ÷ Volume (peças)
Quanto o operador gerou em média por peça atendida</t>
      </text>
    </comment>
    <comment authorId="0" ref="Q3">
      <text>
        <t xml:space="preserve">Preço Médio da Loja = PML
PMO  ÷ PML  × 100
Mostra se o operador está acima ou abaixo do preço médio da loja</t>
      </text>
    </comment>
  </commentList>
</comments>
</file>

<file path=xl/sharedStrings.xml><?xml version="1.0" encoding="utf-8"?>
<sst xmlns="http://schemas.openxmlformats.org/spreadsheetml/2006/main" count="1210" uniqueCount="230">
  <si>
    <t>REFERÊNCIA — PML E PAGAMENTO ANTECIPADO POR LOJA E MÊS</t>
  </si>
  <si>
    <t>Loja</t>
  </si>
  <si>
    <t>Mês</t>
  </si>
  <si>
    <t>PML (R$)</t>
  </si>
  <si>
    <t>Pg Antecip. Loja (R$)</t>
  </si>
  <si>
    <t xml:space="preserve">Pg. Anpecip. % </t>
  </si>
  <si>
    <t>Colaborador</t>
  </si>
  <si>
    <t>Base de Cálculo</t>
  </si>
  <si>
    <t>Matriz</t>
  </si>
  <si>
    <t>Funcao</t>
  </si>
  <si>
    <t>Jan</t>
  </si>
  <si>
    <t>R$ 9.364,48</t>
  </si>
  <si>
    <t>Panorama Geral / Estatística Tipo Pagamento</t>
  </si>
  <si>
    <t>Tipo Premiacao</t>
  </si>
  <si>
    <t>Fev</t>
  </si>
  <si>
    <t>Premiacao</t>
  </si>
  <si>
    <t>R$ 10.881,00</t>
  </si>
  <si>
    <t>Amanda</t>
  </si>
  <si>
    <t>Mar</t>
  </si>
  <si>
    <t>Atendente</t>
  </si>
  <si>
    <t>R$ 14.264,00</t>
  </si>
  <si>
    <t>Acumulada</t>
  </si>
  <si>
    <t>Abril</t>
  </si>
  <si>
    <t>Pacotes</t>
  </si>
  <si>
    <t>Camila</t>
  </si>
  <si>
    <t>Coordenadora</t>
  </si>
  <si>
    <t>Maio</t>
  </si>
  <si>
    <t>Junho</t>
  </si>
  <si>
    <t>Larissa</t>
  </si>
  <si>
    <t>Passadeira</t>
  </si>
  <si>
    <t>Produção</t>
  </si>
  <si>
    <t>Vera</t>
  </si>
  <si>
    <t>Simone</t>
  </si>
  <si>
    <t>Lavadeira</t>
  </si>
  <si>
    <t>JANEIRO</t>
  </si>
  <si>
    <t>Bianca</t>
  </si>
  <si>
    <t>JANEIRO - METAS</t>
  </si>
  <si>
    <t>Fernanda</t>
  </si>
  <si>
    <t>Julho</t>
  </si>
  <si>
    <t>Beatriz</t>
  </si>
  <si>
    <t>Carolina</t>
  </si>
  <si>
    <t>Priscila</t>
  </si>
  <si>
    <t>Filial 1</t>
  </si>
  <si>
    <t>R$ 21,38</t>
  </si>
  <si>
    <t>R$ 18.404,98</t>
  </si>
  <si>
    <t>Rafael</t>
  </si>
  <si>
    <t>Motorista</t>
  </si>
  <si>
    <t>R$ 13.918,50</t>
  </si>
  <si>
    <t xml:space="preserve">Loja </t>
  </si>
  <si>
    <t>R$ 17.572,00</t>
  </si>
  <si>
    <t xml:space="preserve">Meta R$   </t>
  </si>
  <si>
    <t>Nome</t>
  </si>
  <si>
    <t>Realizado R$</t>
  </si>
  <si>
    <t>Atingimento   %</t>
  </si>
  <si>
    <t>Premiação (R$)</t>
  </si>
  <si>
    <t>Premiação a Receber</t>
  </si>
  <si>
    <t>Realizado Total das Lojas</t>
  </si>
  <si>
    <t xml:space="preserve">Preço Médio </t>
  </si>
  <si>
    <t>Pagamento Retirada</t>
  </si>
  <si>
    <t>tipo</t>
  </si>
  <si>
    <t>% PGmto Retidada</t>
  </si>
  <si>
    <t>Pagamento Antecipado</t>
  </si>
  <si>
    <t>Premiação Loja</t>
  </si>
  <si>
    <t>% Pagamento Antecipado</t>
  </si>
  <si>
    <t>Comissão Pacote</t>
  </si>
  <si>
    <t>Comissão Produção</t>
  </si>
  <si>
    <t>Assiduidade</t>
  </si>
  <si>
    <t>Total pago</t>
  </si>
  <si>
    <t>Quant. pacotes vendidos</t>
  </si>
  <si>
    <t>Valor pg pacote vendido</t>
  </si>
  <si>
    <t>Premiação p/ pç extra R$</t>
  </si>
  <si>
    <t>Peça Passadas</t>
  </si>
  <si>
    <t>Extra</t>
  </si>
  <si>
    <t>Filial 2</t>
  </si>
  <si>
    <t>R$ 25,59</t>
  </si>
  <si>
    <t>R$ 2.614,00</t>
  </si>
  <si>
    <t>A_P_G_ATUAL_01.pdf</t>
  </si>
  <si>
    <t>R$ 22,89</t>
  </si>
  <si>
    <t>R$ 2.331,00</t>
  </si>
  <si>
    <t>R$ 24,58</t>
  </si>
  <si>
    <t>R$ 3.137,00</t>
  </si>
  <si>
    <t>👉    TOTAL PRODUÇÃO MATRIZ</t>
  </si>
  <si>
    <t>PREMIAÇÃO TOTAL ACUMULADA</t>
  </si>
  <si>
    <t>FEVEREIRO - METAS</t>
  </si>
  <si>
    <t>Meta R$</t>
  </si>
  <si>
    <t>A_P_G_ATUAL_02.pdf</t>
  </si>
  <si>
    <t>MARÇO - METAS</t>
  </si>
  <si>
    <t>Pgmto Retirada</t>
  </si>
  <si>
    <t>% Pgmto Retidada</t>
  </si>
  <si>
    <t>Pgmto Antecipado</t>
  </si>
  <si>
    <t>% Pgmto Antecipado</t>
  </si>
  <si>
    <t>FEVEREIRO</t>
  </si>
  <si>
    <t>ABRIL - METAS</t>
  </si>
  <si>
    <t>venda pacotes camisas</t>
  </si>
  <si>
    <t>Clientes Novos</t>
  </si>
  <si>
    <t>Total tickets Validos</t>
  </si>
  <si>
    <t>Media Faturamento dia/Trabalaho</t>
  </si>
  <si>
    <t>MAIO - METAS</t>
  </si>
  <si>
    <t>MARÇO</t>
  </si>
  <si>
    <t>JUNHO - METAS</t>
  </si>
  <si>
    <t>Faturamento R$</t>
  </si>
  <si>
    <t>JULHO - METAS</t>
  </si>
  <si>
    <t>TOTAL</t>
  </si>
  <si>
    <t>ABRIL</t>
  </si>
  <si>
    <t>MATRIZ</t>
  </si>
  <si>
    <t>AGOSTO - METAS</t>
  </si>
  <si>
    <t>FILIAL 1</t>
  </si>
  <si>
    <t>loja</t>
  </si>
  <si>
    <t>FILIAL 2</t>
  </si>
  <si>
    <t>Total</t>
  </si>
  <si>
    <t>MAIO</t>
  </si>
  <si>
    <t>Quantidade de pacotes vendidos</t>
  </si>
  <si>
    <t>Valor pago por pacote vendido</t>
  </si>
  <si>
    <t>Premiação por peças extra R$</t>
  </si>
  <si>
    <t>JUNHO =</t>
  </si>
  <si>
    <t>Comissão Pacote (R$)</t>
  </si>
  <si>
    <t>Marina</t>
  </si>
  <si>
    <t>JUlHO =</t>
  </si>
  <si>
    <t>MÊS</t>
  </si>
  <si>
    <t>Total   Pacotes Vendidos</t>
  </si>
  <si>
    <t>COMISSÃO</t>
  </si>
  <si>
    <t>Premiação  |  Pacotes  |</t>
  </si>
  <si>
    <t>Premiação  |  Meta  |  loja</t>
  </si>
  <si>
    <t xml:space="preserve"> Total </t>
  </si>
  <si>
    <t xml:space="preserve">Assiduidade R$ </t>
  </si>
  <si>
    <t>Total   Recebido   R$</t>
  </si>
  <si>
    <t>PMO R$</t>
  </si>
  <si>
    <t>PML</t>
  </si>
  <si>
    <t xml:space="preserve">Pg Antecipado Operador % </t>
  </si>
  <si>
    <t>Pg Antecipado  Lj   %</t>
  </si>
  <si>
    <t xml:space="preserve">% Pg Antecipado </t>
  </si>
  <si>
    <t>R$ 29,50</t>
  </si>
  <si>
    <t>-</t>
  </si>
  <si>
    <t>R$ 21,40</t>
  </si>
  <si>
    <t>—</t>
  </si>
  <si>
    <t>R$ 13,28</t>
  </si>
  <si>
    <t>R$ 32,67</t>
  </si>
  <si>
    <t>R$ 17,00</t>
  </si>
  <si>
    <t>JUNHO</t>
  </si>
  <si>
    <t>JULHO</t>
  </si>
  <si>
    <t>Verificar Helena</t>
  </si>
  <si>
    <t>AGOSTO</t>
  </si>
  <si>
    <t>SETEMBRO</t>
  </si>
  <si>
    <t>OUTUBRO</t>
  </si>
  <si>
    <t>NOVEMBRO</t>
  </si>
  <si>
    <t>DEZEMBRO</t>
  </si>
  <si>
    <t xml:space="preserve">Premiação  |  Meta  | R$ </t>
  </si>
  <si>
    <t>PMO/PML</t>
  </si>
  <si>
    <t xml:space="preserve">Pg Antecip. Operador  % </t>
  </si>
  <si>
    <t>Pg Antecip. Lj   %</t>
  </si>
  <si>
    <t>R$ 24,45</t>
  </si>
  <si>
    <t>Férias</t>
  </si>
  <si>
    <t>PML R$</t>
  </si>
  <si>
    <t>Pg Antecipado Operador %</t>
  </si>
  <si>
    <t>Pg Antecipado Lj %</t>
  </si>
  <si>
    <t>PMO   R$</t>
  </si>
  <si>
    <t>PML   R$</t>
  </si>
  <si>
    <t>% Pg Antecipado Lj</t>
  </si>
  <si>
    <t>R$ 20,11</t>
  </si>
  <si>
    <t>R$ 19,15</t>
  </si>
  <si>
    <t>R$ 19,52</t>
  </si>
  <si>
    <t>BIANCA</t>
  </si>
  <si>
    <t>Alvejamento</t>
  </si>
  <si>
    <t>Hidratação</t>
  </si>
  <si>
    <t>kits</t>
  </si>
  <si>
    <t>Demais Serviços</t>
  </si>
  <si>
    <t>SOFT REVIT.</t>
  </si>
  <si>
    <t>SOFT AMIDON.</t>
  </si>
  <si>
    <t>PMO     R$</t>
  </si>
  <si>
    <t xml:space="preserve">PML     R$ </t>
  </si>
  <si>
    <t>PMO    R$</t>
  </si>
  <si>
    <t xml:space="preserve">PML   R$ </t>
  </si>
  <si>
    <t xml:space="preserve">Kit </t>
  </si>
  <si>
    <t>Demais serviços</t>
  </si>
  <si>
    <t>Premiação  |  Meta  |  loja R$</t>
  </si>
  <si>
    <t>Pg Antecip. Operador  %</t>
  </si>
  <si>
    <t>R$ 23,71</t>
  </si>
  <si>
    <t>R$ 13,00</t>
  </si>
  <si>
    <t>R$ 24,09</t>
  </si>
  <si>
    <t>R$ 24,18</t>
  </si>
  <si>
    <t xml:space="preserve"> Pg Antecip. Operador % </t>
  </si>
  <si>
    <t>Pg Antecipado lj %</t>
  </si>
  <si>
    <t>FÉRIAS</t>
  </si>
  <si>
    <t xml:space="preserve">Amanda </t>
  </si>
  <si>
    <t>R$ 14,53</t>
  </si>
  <si>
    <t>Kits</t>
  </si>
  <si>
    <t>R$ 13,95</t>
  </si>
  <si>
    <t>R$ 37,38</t>
  </si>
  <si>
    <t>LARISSA</t>
  </si>
  <si>
    <t xml:space="preserve"> Peças Passadas</t>
  </si>
  <si>
    <t xml:space="preserve"> Extras</t>
  </si>
  <si>
    <t xml:space="preserve">Premiação </t>
  </si>
  <si>
    <t xml:space="preserve"> |  Meta  |  loja</t>
  </si>
  <si>
    <t xml:space="preserve"> Total Recebido R$</t>
  </si>
  <si>
    <t>R$ 300,00</t>
  </si>
  <si>
    <t>VERA</t>
  </si>
  <si>
    <t>CONSOLIDADO POR OPERADOR — MÉDIA JAN/FEV/MAR 2026</t>
  </si>
  <si>
    <t>MARCO</t>
  </si>
  <si>
    <t>Operador</t>
  </si>
  <si>
    <t>PMO</t>
  </si>
  <si>
    <t>% PML</t>
  </si>
  <si>
    <t>% Antecipado Lj</t>
  </si>
  <si>
    <t>R$ 22,61</t>
  </si>
  <si>
    <t>R$ 26,03</t>
  </si>
  <si>
    <t>R$ 20,98</t>
  </si>
  <si>
    <t>Renata</t>
  </si>
  <si>
    <t>R$ 17,37</t>
  </si>
  <si>
    <t>Isabela</t>
  </si>
  <si>
    <t>R$ 18,83</t>
  </si>
  <si>
    <t>R$ 19,79</t>
  </si>
  <si>
    <t>R$ 19,45</t>
  </si>
  <si>
    <t>R$ 22,75</t>
  </si>
  <si>
    <t>R$ 20,82</t>
  </si>
  <si>
    <t>Cristina</t>
  </si>
  <si>
    <t>R$ 22,16</t>
  </si>
  <si>
    <t>R$ 18,55</t>
  </si>
  <si>
    <t>R$ 18,29</t>
  </si>
  <si>
    <t>Sabrina</t>
  </si>
  <si>
    <t>R$ 26,48</t>
  </si>
  <si>
    <t>R$ 19,23</t>
  </si>
  <si>
    <t>R$ 19,92</t>
  </si>
  <si>
    <t>R$ 18,44</t>
  </si>
  <si>
    <t>Gabriela</t>
  </si>
  <si>
    <t>R$ 21,03</t>
  </si>
  <si>
    <t>R$ 17,50</t>
  </si>
  <si>
    <t>R$ 25,67</t>
  </si>
  <si>
    <t>MARINA</t>
  </si>
  <si>
    <t xml:space="preserve"> Extra</t>
  </si>
  <si>
    <t xml:space="preserve"> |  Meta  |   loja</t>
  </si>
  <si>
    <t xml:space="preserve"> Total Reecebido R$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</si>
</sst>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%"/>
  </numFmts>
  <fonts count="53">
    <font>
      <sz val="10.0"/>
      <color rgb="FF000000"/>
      <name val="Arial"/>
      <scheme val="minor"/>
    </font>
    <font>
      <b/>
      <sz val="11.0"/>
      <color rgb="FFFFFFFF"/>
      <name val="Arial"/>
    </font>
    <font>
      <b/>
      <color rgb="FF1F4E79"/>
      <name val="Arial"/>
    </font>
    <font>
      <color theme="1"/>
      <name val="Arial"/>
    </font>
    <font>
      <sz val="11.0"/>
      <color rgb="FF000000"/>
      <name val="Calibri"/>
    </font>
    <font>
      <sz val="10.0"/>
      <color rgb="FF000000"/>
      <name val="Arial"/>
    </font>
    <font>
      <b/>
      <sz val="11.0"/>
      <color theme="1"/>
      <name val="Roboto"/>
    </font>
    <font>
      <color rgb="FF000000"/>
      <name val="Times New Roman"/>
    </font>
    <font>
      <b/>
      <sz val="12.0"/>
      <color theme="1"/>
      <name val="Roboto"/>
    </font>
    <font>
      <color theme="1"/>
      <name val="Times New Roman"/>
    </font>
    <font>
      <color theme="1"/>
      <name val="Roboto"/>
    </font>
    <font>
      <b/>
      <sz val="14.0"/>
      <color rgb="FF000000"/>
      <name val="Times New Roman"/>
    </font>
    <font/>
    <font>
      <b/>
      <color rgb="FF000000"/>
      <name val="Times New Roman"/>
    </font>
    <font>
      <color rgb="FF000000"/>
      <name val="Arial"/>
    </font>
    <font>
      <b/>
      <color theme="1"/>
      <name val="Roboto"/>
    </font>
    <font>
      <u/>
      <color rgb="FF0000FF"/>
      <name val="Roboto"/>
    </font>
    <font>
      <b/>
      <sz val="11.0"/>
      <color theme="1"/>
      <name val="Arial"/>
    </font>
    <font>
      <b/>
      <sz val="11.0"/>
      <color rgb="FF006100"/>
      <name val="Arial"/>
    </font>
    <font>
      <b/>
      <sz val="11.0"/>
      <color rgb="FFFF8C00"/>
      <name val="Arial"/>
    </font>
    <font>
      <b/>
      <sz val="11.0"/>
      <color rgb="FFFF0000"/>
      <name val="Arial"/>
    </font>
    <font>
      <sz val="11.0"/>
      <color theme="1"/>
      <name val="Roboto"/>
    </font>
    <font>
      <b/>
      <color rgb="FF000000"/>
      <name val="Arial"/>
    </font>
    <font>
      <b/>
      <color theme="1"/>
      <name val="Arial"/>
    </font>
    <font>
      <b/>
      <sz val="20.0"/>
      <color theme="1"/>
      <name val="Times New Roman"/>
    </font>
    <font>
      <b/>
      <sz val="12.0"/>
      <color rgb="FF000000"/>
      <name val="Times New Roman"/>
    </font>
    <font>
      <b/>
      <sz val="24.0"/>
      <color rgb="FF000000"/>
      <name val="Times New Roman"/>
    </font>
    <font>
      <b/>
      <sz val="10.0"/>
      <color rgb="FFFFFFFF"/>
      <name val="Times New Roman"/>
    </font>
    <font>
      <b/>
      <sz val="12.0"/>
      <color theme="1"/>
      <name val="Times New Roman"/>
    </font>
    <font>
      <b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000000"/>
      <name val="Times New Roman"/>
    </font>
    <font>
      <sz val="10.0"/>
      <color rgb="FFAAAAAA"/>
      <name val="Times New Roman"/>
    </font>
    <font>
      <b/>
      <color rgb="FF006100"/>
      <name val="Arial"/>
    </font>
    <font>
      <sz val="9.0"/>
      <color rgb="FF000000"/>
      <name val="Arial"/>
    </font>
    <font>
      <sz val="9.0"/>
      <color rgb="FFAAAAAA"/>
      <name val="Arial"/>
    </font>
    <font>
      <b/>
      <sz val="10.0"/>
      <color rgb="FF000000"/>
      <name val="Times New Roman"/>
    </font>
    <font>
      <sz val="12.0"/>
      <color theme="1"/>
      <name val="Times New Roman"/>
    </font>
    <font>
      <b/>
      <color rgb="FFFF8C00"/>
      <name val="Arial"/>
    </font>
    <font>
      <b/>
      <sz val="11.0"/>
      <color rgb="FF000000"/>
      <name val="Calibri"/>
    </font>
    <font>
      <b/>
      <sz val="24.0"/>
      <color theme="1"/>
      <name val="Times New Roman"/>
    </font>
    <font>
      <b/>
      <sz val="10.0"/>
      <color rgb="FFFF0000"/>
      <name val="Times New Roman"/>
    </font>
    <font>
      <b/>
      <sz val="10.0"/>
      <color rgb="FF006100"/>
      <name val="Times New Roman"/>
    </font>
    <font>
      <b/>
      <sz val="10.0"/>
      <color rgb="FFFF8C00"/>
      <name val="Times New Roman"/>
    </font>
    <font>
      <sz val="20.0"/>
      <color rgb="FF000000"/>
      <name val="Times New Roman"/>
    </font>
    <font>
      <b/>
      <sz val="12.0"/>
      <color rgb="FFFFFFFF"/>
      <name val="Arial"/>
    </font>
    <font>
      <b/>
      <color rgb="FFFF0000"/>
      <name val="Arial"/>
    </font>
    <font>
      <sz val="12.0"/>
      <color theme="1"/>
      <name val="Arial"/>
    </font>
    <font>
      <b/>
      <sz val="12.0"/>
      <color theme="1"/>
      <name val="Arial"/>
    </font>
    <font>
      <sz val="10.0"/>
      <color rgb="FFCCCCCC"/>
      <name val="Times New Roman"/>
    </font>
    <font>
      <sz val="10.0"/>
      <color theme="1"/>
      <name val="Arial"/>
    </font>
    <font>
      <sz val="10.0"/>
      <color rgb="FFCCCC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148">
    <border/>
    <border>
      <left style="thin">
        <color rgb="FFAAAAAA"/>
      </left>
      <right style="thin">
        <color rgb="FFAAAAAA"/>
      </right>
      <top style="thin">
        <color rgb="FFAAAAAA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AAAAAA"/>
      </left>
      <right style="thin">
        <color rgb="FFAAAAAA"/>
      </right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double">
        <color rgb="FF000000"/>
      </left>
      <top style="double">
        <color rgb="FF000000"/>
      </top>
    </border>
    <border>
      <left style="hair">
        <color rgb="FF26A69A"/>
      </left>
      <top style="hair">
        <color rgb="FF26A69A"/>
      </top>
      <bottom style="hair">
        <color rgb="FF26A69A"/>
      </bottom>
    </border>
    <border>
      <top style="hair">
        <color rgb="FF26A69A"/>
      </top>
      <bottom style="hair">
        <color rgb="FF26A69A"/>
      </bottom>
    </border>
    <border>
      <right style="hair">
        <color rgb="FF26A69A"/>
      </right>
      <top style="hair">
        <color rgb="FF26A69A"/>
      </top>
      <bottom style="hair">
        <color rgb="FF26A69A"/>
      </bottom>
    </border>
    <border>
      <left style="thick">
        <color rgb="FF26A69A"/>
      </left>
      <top style="thick">
        <color rgb="FF26A69A"/>
      </top>
    </border>
    <border>
      <top style="thick">
        <color rgb="FF26A69A"/>
      </top>
    </border>
    <border>
      <right style="thick">
        <color rgb="FF26A69A"/>
      </right>
      <top style="thick">
        <color rgb="FF26A69A"/>
      </top>
    </border>
    <border>
      <left style="hair">
        <color rgb="FF26A69A"/>
      </left>
      <right style="hair">
        <color rgb="FF26A69A"/>
      </right>
      <top style="hair">
        <color rgb="FF26A69A"/>
      </top>
      <bottom style="hair">
        <color rgb="FF26A69A"/>
      </bottom>
    </border>
    <border>
      <left style="thick">
        <color rgb="FF26A69A"/>
      </left>
    </border>
    <border>
      <right style="thick">
        <color rgb="FF26A69A"/>
      </right>
    </border>
    <border>
      <right style="dotted">
        <color rgb="FF26A69A"/>
      </right>
      <top style="thick">
        <color rgb="FF26A69A"/>
      </top>
      <bottom style="dotted">
        <color rgb="FF26A69A"/>
      </bottom>
    </border>
    <border>
      <left style="dotted">
        <color rgb="FF26A69A"/>
      </left>
      <right style="dotted">
        <color rgb="FF26A69A"/>
      </right>
      <top style="thick">
        <color rgb="FF26A69A"/>
      </top>
      <bottom style="dotted">
        <color rgb="FF26A69A"/>
      </bottom>
    </border>
    <border>
      <left style="dotted">
        <color rgb="FF26A69A"/>
      </left>
      <right style="thick">
        <color rgb="FF26A69A"/>
      </right>
      <top style="thick">
        <color rgb="FF26A69A"/>
      </top>
      <bottom style="dotted">
        <color rgb="FF26A69A"/>
      </bottom>
    </border>
    <border>
      <right style="dotted">
        <color rgb="FF26A69A"/>
      </right>
      <top style="dotted">
        <color rgb="FF26A69A"/>
      </top>
      <bottom style="dotted">
        <color rgb="FF26A69A"/>
      </bottom>
    </border>
    <border>
      <left style="dotted">
        <color rgb="FF26A69A"/>
      </left>
      <right style="dotted">
        <color rgb="FF26A69A"/>
      </right>
      <top style="dotted">
        <color rgb="FF26A69A"/>
      </top>
      <bottom style="dotted">
        <color rgb="FF26A69A"/>
      </bottom>
    </border>
    <border>
      <left style="dotted">
        <color rgb="FF26A69A"/>
      </left>
      <right style="thick">
        <color rgb="FF26A69A"/>
      </right>
      <top style="dotted">
        <color rgb="FF26A69A"/>
      </top>
      <bottom style="dotted">
        <color rgb="FF26A69A"/>
      </bottom>
    </border>
    <border>
      <left style="thick">
        <color rgb="FF26A69A"/>
      </left>
      <top style="thick">
        <color rgb="FF26A69A"/>
      </top>
      <bottom style="thick">
        <color rgb="FF26A69A"/>
      </bottom>
    </border>
    <border>
      <top style="thick">
        <color rgb="FF26A69A"/>
      </top>
      <bottom style="thick">
        <color rgb="FF26A69A"/>
      </bottom>
    </border>
    <border>
      <right style="dotted">
        <color rgb="FF26A69A"/>
      </right>
      <top style="dotted">
        <color rgb="FF26A69A"/>
      </top>
    </border>
    <border>
      <left style="dotted">
        <color rgb="FF26A69A"/>
      </left>
      <right style="dotted">
        <color rgb="FF26A69A"/>
      </right>
      <top style="dotted">
        <color rgb="FF26A69A"/>
      </top>
    </border>
    <border>
      <left style="dotted">
        <color rgb="FF26A69A"/>
      </left>
      <right style="thick">
        <color rgb="FF26A69A"/>
      </right>
      <top style="dotted">
        <color rgb="FF26A69A"/>
      </top>
    </border>
    <border>
      <left style="thick">
        <color rgb="FF26A69A"/>
      </left>
      <right style="medium">
        <color rgb="FF26A69A"/>
      </right>
      <bottom style="thick">
        <color rgb="FF26A69A"/>
      </bottom>
    </border>
    <border>
      <left style="medium">
        <color rgb="FF26A69A"/>
      </left>
      <right style="medium">
        <color rgb="FF26A69A"/>
      </right>
      <bottom style="thick">
        <color rgb="FF26A69A"/>
      </bottom>
    </border>
    <border>
      <left style="medium">
        <color rgb="FF26A69A"/>
      </left>
      <right style="thick">
        <color rgb="FF26A69A"/>
      </right>
      <bottom style="thick">
        <color rgb="FF26A69A"/>
      </bottom>
    </border>
    <border>
      <bottom style="thick">
        <color rgb="FF26A69A"/>
      </bottom>
    </border>
    <border>
      <right style="thick">
        <color rgb="FF26A69A"/>
      </right>
      <bottom style="thick">
        <color rgb="FF26A69A"/>
      </bottom>
    </border>
    <border>
      <left style="medium">
        <color rgb="FF26A69A"/>
      </left>
      <top style="medium">
        <color rgb="FF26A69A"/>
      </top>
      <bottom style="hair">
        <color rgb="FF26A69A"/>
      </bottom>
    </border>
    <border>
      <top style="medium">
        <color rgb="FF26A69A"/>
      </top>
      <bottom style="hair">
        <color rgb="FF26A69A"/>
      </bottom>
    </border>
    <border>
      <right style="medium">
        <color rgb="FF26A69A"/>
      </right>
      <top style="medium">
        <color rgb="FF26A69A"/>
      </top>
      <bottom style="hair">
        <color rgb="FF26A69A"/>
      </bottom>
    </border>
    <border>
      <left style="medium">
        <color rgb="FF26A69A"/>
      </left>
      <top style="medium">
        <color rgb="FF26A69A"/>
      </top>
    </border>
    <border>
      <top style="medium">
        <color rgb="FF26A69A"/>
      </top>
    </border>
    <border>
      <right style="thick">
        <color rgb="FF26A69A"/>
      </right>
      <top style="medium">
        <color rgb="FF26A69A"/>
      </top>
    </border>
    <border>
      <right style="medium">
        <color rgb="FF26A69A"/>
      </right>
      <top style="medium">
        <color rgb="FF26A69A"/>
      </top>
    </border>
    <border>
      <left style="medium">
        <color rgb="FF26A69A"/>
      </left>
      <right style="hair">
        <color rgb="FF26A69A"/>
      </right>
      <top style="hair">
        <color rgb="FF26A69A"/>
      </top>
      <bottom style="hair">
        <color rgb="FF26A69A"/>
      </bottom>
    </border>
    <border>
      <left style="medium">
        <color rgb="FF26A69A"/>
      </left>
      <right style="hair">
        <color rgb="FF26A69A"/>
      </right>
      <top style="thick">
        <color rgb="FF26A69A"/>
      </top>
      <bottom style="hair">
        <color rgb="FF26A69A"/>
      </bottom>
    </border>
    <border>
      <left style="hair">
        <color rgb="FF26A69A"/>
      </left>
      <right style="hair">
        <color rgb="FF26A69A"/>
      </right>
      <top style="thick">
        <color rgb="FF26A69A"/>
      </top>
      <bottom style="hair">
        <color rgb="FF26A69A"/>
      </bottom>
    </border>
    <border>
      <left style="hair">
        <color rgb="FF26A69A"/>
      </left>
      <top style="thick">
        <color rgb="FF26A69A"/>
      </top>
      <bottom style="hair">
        <color rgb="FF26A69A"/>
      </bottom>
    </border>
    <border>
      <right style="medium">
        <color rgb="FF26A69A"/>
      </right>
      <top style="thick">
        <color rgb="FF26A69A"/>
      </top>
      <bottom style="thin">
        <color rgb="FF000000"/>
      </bottom>
    </border>
    <border>
      <right style="medium">
        <color rgb="FF26A69A"/>
      </right>
      <top style="hair">
        <color rgb="FF26A69A"/>
      </top>
      <bottom style="hair">
        <color rgb="FF26A69A"/>
      </bottom>
    </border>
    <border>
      <left style="medium">
        <color rgb="FF26A69A"/>
      </left>
      <right style="hair">
        <color rgb="FF26A69A"/>
      </right>
      <top style="hair">
        <color rgb="FF26A69A"/>
      </top>
    </border>
    <border>
      <left style="hair">
        <color rgb="FF26A69A"/>
      </left>
      <right style="hair">
        <color rgb="FF26A69A"/>
      </right>
      <top style="hair">
        <color rgb="FF26A69A"/>
      </top>
    </border>
    <border>
      <left style="hair">
        <color rgb="FF26A69A"/>
      </left>
      <top style="hair">
        <color rgb="FF26A69A"/>
      </top>
    </border>
    <border>
      <right style="medium">
        <color rgb="FF26A69A"/>
      </right>
      <top style="hair">
        <color rgb="FF26A69A"/>
      </top>
    </border>
    <border>
      <left style="medium">
        <color rgb="FF26A69A"/>
      </left>
    </border>
    <border>
      <right style="medium">
        <color rgb="FF26A69A"/>
      </right>
    </border>
    <border>
      <left style="medium">
        <color rgb="FF26A69A"/>
      </left>
      <right style="hair">
        <color rgb="FF26A69A"/>
      </right>
      <bottom style="hair">
        <color rgb="FF26A69A"/>
      </bottom>
    </border>
    <border>
      <left style="hair">
        <color rgb="FF26A69A"/>
      </left>
      <right style="hair">
        <color rgb="FF26A69A"/>
      </right>
      <bottom style="hair">
        <color rgb="FF26A69A"/>
      </bottom>
    </border>
    <border>
      <left style="hair">
        <color rgb="FF26A69A"/>
      </left>
      <bottom style="hair">
        <color rgb="FF26A69A"/>
      </bottom>
    </border>
    <border>
      <right style="medium">
        <color rgb="FF26A69A"/>
      </right>
      <bottom style="hair">
        <color rgb="FF26A69A"/>
      </bottom>
    </border>
    <border>
      <left style="medium">
        <color rgb="FF26A69A"/>
      </left>
      <right style="hair">
        <color rgb="FF26A69A"/>
      </right>
      <top style="hair">
        <color rgb="FF26A69A"/>
      </top>
      <bottom style="medium">
        <color rgb="FF26A69A"/>
      </bottom>
    </border>
    <border>
      <left style="hair">
        <color rgb="FF26A69A"/>
      </left>
      <right style="hair">
        <color rgb="FF26A69A"/>
      </right>
      <top style="hair">
        <color rgb="FF26A69A"/>
      </top>
      <bottom style="medium">
        <color rgb="FF26A69A"/>
      </bottom>
    </border>
    <border>
      <left style="hair">
        <color rgb="FF26A69A"/>
      </left>
      <top style="hair">
        <color rgb="FF26A69A"/>
      </top>
      <bottom style="medium">
        <color rgb="FF26A69A"/>
      </bottom>
    </border>
    <border>
      <left style="medium">
        <color rgb="FF26A69A"/>
      </left>
      <bottom style="medium">
        <color rgb="FF26A69A"/>
      </bottom>
    </border>
    <border>
      <bottom style="medium">
        <color rgb="FF26A69A"/>
      </bottom>
    </border>
    <border>
      <right style="medium">
        <color rgb="FF26A69A"/>
      </right>
      <bottom style="medium">
        <color rgb="FF26A69A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thick">
        <color rgb="FF26A69A"/>
      </top>
      <bottom style="hair">
        <color rgb="FF26A69A"/>
      </bottom>
    </border>
    <border>
      <right style="hair">
        <color rgb="FF26A69A"/>
      </right>
      <top style="thick">
        <color rgb="FF26A69A"/>
      </top>
      <bottom style="hair">
        <color rgb="FF26A69A"/>
      </bottom>
    </border>
    <border>
      <left style="medium">
        <color rgb="FF26A69A"/>
      </left>
      <top style="medium">
        <color rgb="FF26A69A"/>
      </top>
      <bottom style="thin">
        <color rgb="FF26A69A"/>
      </bottom>
    </border>
    <border>
      <top style="medium">
        <color rgb="FF26A69A"/>
      </top>
      <bottom style="thin">
        <color rgb="FF26A69A"/>
      </bottom>
    </border>
    <border>
      <right style="thin">
        <color rgb="FF26A69A"/>
      </right>
      <top style="medium">
        <color rgb="FF26A69A"/>
      </top>
      <bottom style="thin">
        <color rgb="FF26A69A"/>
      </bottom>
    </border>
    <border>
      <left style="thin">
        <color rgb="FF26A69A"/>
      </left>
      <right style="medium">
        <color rgb="FF26A69A"/>
      </right>
      <top style="medium">
        <color rgb="FF26A69A"/>
      </top>
      <bottom style="thin">
        <color rgb="FF26A69A"/>
      </bottom>
    </border>
    <border>
      <right style="thick">
        <color rgb="FF26A69A"/>
      </right>
      <top style="thick">
        <color rgb="FF26A69A"/>
      </top>
      <bottom style="hair">
        <color rgb="FF26A69A"/>
      </bottom>
    </border>
    <border>
      <left style="medium">
        <color rgb="FF26A69A"/>
      </left>
      <right style="thin">
        <color rgb="FF26A69A"/>
      </right>
      <top style="thin">
        <color rgb="FF26A69A"/>
      </top>
      <bottom style="thin">
        <color rgb="FF26A69A"/>
      </bottom>
    </border>
    <border>
      <left style="thin">
        <color rgb="FF26A69A"/>
      </left>
      <right style="thin">
        <color rgb="FF26A69A"/>
      </right>
      <top style="thin">
        <color rgb="FF26A69A"/>
      </top>
      <bottom style="thin">
        <color rgb="FF26A69A"/>
      </bottom>
    </border>
    <border>
      <left style="thin">
        <color rgb="FF26A69A"/>
      </left>
      <right style="medium">
        <color rgb="FF26A69A"/>
      </right>
      <top style="thin">
        <color rgb="FF26A69A"/>
      </top>
      <bottom style="thin">
        <color rgb="FF26A69A"/>
      </bottom>
    </border>
    <border>
      <left style="hair">
        <color rgb="FF26A69A"/>
      </left>
      <right style="thick">
        <color rgb="FF26A69A"/>
      </right>
      <top style="hair">
        <color rgb="FF26A69A"/>
      </top>
      <bottom style="hair">
        <color rgb="FF26A69A"/>
      </bottom>
    </border>
    <border>
      <right style="hair">
        <color rgb="FF26A69A"/>
      </right>
      <top style="hair">
        <color rgb="FF26A69A"/>
      </top>
    </border>
    <border>
      <top style="hair">
        <color rgb="FF26A69A"/>
      </top>
    </border>
    <border>
      <right style="hair">
        <color rgb="FF26A69A"/>
      </right>
      <top style="thick">
        <color rgb="FF26A69A"/>
      </top>
      <bottom style="thick">
        <color rgb="FF26A69A"/>
      </bottom>
    </border>
    <border>
      <left style="hair">
        <color rgb="FF26A69A"/>
      </left>
      <right style="hair">
        <color rgb="FF26A69A"/>
      </right>
      <top style="thick">
        <color rgb="FF26A69A"/>
      </top>
      <bottom style="thick">
        <color rgb="FF26A69A"/>
      </bottom>
    </border>
    <border>
      <left style="hair">
        <color rgb="FF26A69A"/>
      </left>
      <top style="thick">
        <color rgb="FF26A69A"/>
      </top>
      <bottom style="thick">
        <color rgb="FF26A69A"/>
      </bottom>
    </border>
    <border>
      <right style="hair">
        <color rgb="FF26A69A"/>
      </right>
      <bottom style="hair">
        <color rgb="FF26A69A"/>
      </bottom>
    </border>
    <border>
      <bottom style="hair">
        <color rgb="FF26A69A"/>
      </bottom>
    </border>
    <border>
      <right style="hair">
        <color rgb="FF26A69A"/>
      </right>
      <top style="hair">
        <color rgb="FF26A69A"/>
      </top>
      <bottom style="thick">
        <color rgb="FF26A69A"/>
      </bottom>
    </border>
    <border>
      <left style="hair">
        <color rgb="FF26A69A"/>
      </left>
      <right style="hair">
        <color rgb="FF26A69A"/>
      </right>
      <top style="hair">
        <color rgb="FF26A69A"/>
      </top>
      <bottom style="thick">
        <color rgb="FF26A69A"/>
      </bottom>
    </border>
    <border>
      <left style="hair">
        <color rgb="FF26A69A"/>
      </left>
      <top style="hair">
        <color rgb="FF26A69A"/>
      </top>
      <bottom style="thick">
        <color rgb="FF26A69A"/>
      </bottom>
    </border>
    <border>
      <top style="hair">
        <color rgb="FF26A69A"/>
      </top>
      <bottom style="thick">
        <color rgb="FF26A69A"/>
      </bottom>
    </border>
    <border>
      <left style="medium">
        <color rgb="FF26A69A"/>
      </left>
      <right style="thin">
        <color rgb="FF26A69A"/>
      </right>
      <top style="thin">
        <color rgb="FF26A69A"/>
      </top>
      <bottom style="medium">
        <color rgb="FF26A69A"/>
      </bottom>
    </border>
    <border>
      <left style="thin">
        <color rgb="FF26A69A"/>
      </left>
      <right style="thin">
        <color rgb="FF26A69A"/>
      </right>
      <top style="thin">
        <color rgb="FF26A69A"/>
      </top>
      <bottom style="medium">
        <color rgb="FF26A69A"/>
      </bottom>
    </border>
    <border>
      <left style="thin">
        <color rgb="FF26A69A"/>
      </left>
      <right style="medium">
        <color rgb="FF26A69A"/>
      </right>
      <top style="thin">
        <color rgb="FF26A69A"/>
      </top>
      <bottom style="medium">
        <color rgb="FF26A69A"/>
      </bottom>
    </border>
    <border>
      <left style="hair">
        <color rgb="FF26A69A"/>
      </left>
      <right style="thick">
        <color rgb="FF26A69A"/>
      </right>
      <top style="hair">
        <color rgb="FF26A69A"/>
      </top>
      <bottom style="thick">
        <color rgb="FF26A69A"/>
      </bottom>
    </border>
    <border>
      <left style="dotted">
        <color rgb="FF26A69A"/>
      </left>
      <top style="dotted">
        <color rgb="FF26A69A"/>
      </top>
      <bottom style="dotted">
        <color rgb="FF26A69A"/>
      </bottom>
    </border>
    <border>
      <top style="dotted">
        <color rgb="FF26A69A"/>
      </top>
      <bottom style="dotted">
        <color rgb="FF26A69A"/>
      </bottom>
    </border>
    <border>
      <left style="medium">
        <color rgb="FF26A69A"/>
      </left>
      <right style="dotted">
        <color rgb="FF26A69A"/>
      </right>
      <top style="hair">
        <color rgb="FF26A69A"/>
      </top>
      <bottom style="dotted">
        <color rgb="FF26A69A"/>
      </bottom>
    </border>
    <border>
      <left style="dotted">
        <color rgb="FF26A69A"/>
      </left>
      <right style="dotted">
        <color rgb="FF26A69A"/>
      </right>
      <top style="hair">
        <color rgb="FF26A69A"/>
      </top>
      <bottom style="dotted">
        <color rgb="FF26A69A"/>
      </bottom>
    </border>
    <border>
      <left style="dotted">
        <color rgb="FF26A69A"/>
      </left>
      <right style="dotted">
        <color rgb="FF26A69A"/>
      </right>
      <bottom style="dotted">
        <color rgb="FF26A69A"/>
      </bottom>
    </border>
    <border>
      <left style="dotted">
        <color rgb="FF26A69A"/>
      </left>
      <right style="medium">
        <color rgb="FF26A69A"/>
      </right>
      <top style="hair">
        <color rgb="FF26A69A"/>
      </top>
      <bottom style="dotted">
        <color rgb="FF26A69A"/>
      </bottom>
    </border>
    <border>
      <left style="medium">
        <color rgb="FF26A69A"/>
      </left>
      <right style="dotted">
        <color rgb="FF26A69A"/>
      </right>
      <top style="dotted">
        <color rgb="FF26A69A"/>
      </top>
      <bottom style="dotted">
        <color rgb="FF26A69A"/>
      </bottom>
    </border>
    <border>
      <left style="dotted">
        <color rgb="FF26A69A"/>
      </left>
      <right style="medium">
        <color rgb="FF26A69A"/>
      </right>
      <top style="dotted">
        <color rgb="FF26A69A"/>
      </top>
      <bottom style="dotted">
        <color rgb="FF26A69A"/>
      </bottom>
    </border>
    <border>
      <left style="medium">
        <color rgb="FF26A69A"/>
      </left>
      <right style="dotted">
        <color rgb="FF26A69A"/>
      </right>
      <top style="dotted">
        <color rgb="FF26A69A"/>
      </top>
    </border>
    <border>
      <left style="dotted">
        <color rgb="FF26A69A"/>
      </left>
      <right style="medium">
        <color rgb="FF26A69A"/>
      </right>
      <top style="dotted">
        <color rgb="FF26A69A"/>
      </top>
    </border>
    <border>
      <left style="thick">
        <color rgb="FF26A69A"/>
      </left>
      <top style="thick">
        <color rgb="FF26A69A"/>
      </top>
      <bottom style="dotted">
        <color rgb="FF000000"/>
      </bottom>
    </border>
    <border>
      <top style="thick">
        <color rgb="FF26A69A"/>
      </top>
      <bottom style="dotted">
        <color rgb="FF000000"/>
      </bottom>
    </border>
    <border>
      <right style="dotted">
        <color rgb="FF000000"/>
      </right>
      <top style="thick">
        <color rgb="FF26A69A"/>
      </top>
      <bottom style="dotted">
        <color rgb="FF000000"/>
      </bottom>
    </border>
    <border>
      <left style="dotted">
        <color rgb="FF000000"/>
      </left>
      <right style="thick">
        <color rgb="FF26A69A"/>
      </right>
      <top style="thick">
        <color rgb="FF26A69A"/>
      </top>
      <bottom style="dotted">
        <color rgb="FF000000"/>
      </bottom>
    </border>
    <border>
      <left style="thick">
        <color rgb="FF26A69A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26A69A"/>
      </right>
      <top style="dotted">
        <color rgb="FF000000"/>
      </top>
      <bottom style="dotted">
        <color rgb="FF000000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ck">
        <color rgb="FF26A69A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26A69A"/>
      </right>
      <top style="dotted">
        <color rgb="FF000000"/>
      </top>
    </border>
    <border>
      <left style="thick">
        <color rgb="FF26A69A"/>
      </left>
      <bottom style="thick">
        <color rgb="FF26A69A"/>
      </bottom>
    </border>
    <border>
      <right style="thick">
        <color rgb="FF26A69A"/>
      </right>
      <top style="thick">
        <color rgb="FF26A69A"/>
      </top>
      <bottom style="thick">
        <color rgb="FF26A69A"/>
      </bottom>
    </border>
    <border>
      <left style="thick">
        <color rgb="FF26A69A"/>
      </left>
      <right style="dotted">
        <color rgb="FF000000"/>
      </right>
      <top style="thick">
        <color rgb="FF26A69A"/>
      </top>
      <bottom style="thick">
        <color rgb="FF26A69A"/>
      </bottom>
    </border>
    <border>
      <left style="dotted">
        <color rgb="FF000000"/>
      </left>
      <right style="dotted">
        <color rgb="FF000000"/>
      </right>
      <top style="thick">
        <color rgb="FF26A69A"/>
      </top>
      <bottom style="thick">
        <color rgb="FF26A69A"/>
      </bottom>
    </border>
    <border>
      <left style="dotted">
        <color rgb="FF000000"/>
      </left>
      <right style="thick">
        <color rgb="FF26A69A"/>
      </right>
      <top style="thick">
        <color rgb="FF26A69A"/>
      </top>
      <bottom style="thick">
        <color rgb="FF26A69A"/>
      </bottom>
    </border>
    <border>
      <right style="hair">
        <color rgb="FF26A69A"/>
      </right>
      <top style="medium">
        <color rgb="FF26A69A"/>
      </top>
      <bottom style="hair">
        <color rgb="FF26A69A"/>
      </bottom>
    </border>
    <border>
      <left style="hair">
        <color rgb="FF26A69A"/>
      </left>
      <right style="medium">
        <color rgb="FF26A69A"/>
      </right>
      <top style="medium">
        <color rgb="FF26A69A"/>
      </top>
      <bottom style="hair">
        <color rgb="FF26A69A"/>
      </bottom>
    </border>
    <border>
      <left style="hair">
        <color rgb="FF26A69A"/>
      </left>
      <right style="medium">
        <color rgb="FF26A69A"/>
      </right>
      <top style="hair">
        <color rgb="FF26A69A"/>
      </top>
      <bottom style="hair">
        <color rgb="FF26A69A"/>
      </bottom>
    </border>
    <border>
      <left style="hair">
        <color rgb="FF26A69A"/>
      </left>
      <right style="medium">
        <color rgb="FF26A69A"/>
      </right>
      <top style="hair">
        <color rgb="FF26A69A"/>
      </top>
      <bottom style="medium">
        <color rgb="FF26A69A"/>
      </bottom>
    </border>
    <border>
      <right style="hair">
        <color rgb="FF26A69A"/>
      </right>
      <top style="hair">
        <color rgb="FF26A69A"/>
      </top>
      <bottom style="medium">
        <color rgb="FF26A69A"/>
      </bottom>
    </border>
    <border>
      <left style="hair">
        <color rgb="FFDDF2F0"/>
      </left>
      <right style="hair">
        <color rgb="FFDDF2F0"/>
      </right>
      <bottom style="hair">
        <color rgb="FFDDF2F0"/>
      </bottom>
    </border>
    <border>
      <left style="hair">
        <color rgb="FFDDF2F0"/>
      </left>
      <right style="hair">
        <color rgb="FFDDF2F0"/>
      </right>
      <top style="hair">
        <color rgb="FFDDF2F0"/>
      </top>
      <bottom style="hair">
        <color rgb="FFDDF2F0"/>
      </bottom>
    </border>
    <border>
      <left style="hair">
        <color rgb="FFDDF2F0"/>
      </left>
      <right style="hair">
        <color rgb="FFDDF2F0"/>
      </right>
      <top style="hair">
        <color rgb="FFDDF2F0"/>
      </top>
    </border>
    <border>
      <left style="hair">
        <color rgb="FF26A69A"/>
      </left>
      <right style="hair">
        <color rgb="FFDDF2F0"/>
      </right>
      <bottom style="hair">
        <color rgb="FFDDF2F0"/>
      </bottom>
    </border>
    <border>
      <left style="hair">
        <color rgb="FFDDF2F0"/>
      </left>
      <right style="hair">
        <color rgb="FF26A69A"/>
      </right>
      <bottom style="hair">
        <color rgb="FFDDF2F0"/>
      </bottom>
    </border>
    <border>
      <left style="hair">
        <color rgb="FF26A69A"/>
      </left>
      <right style="hair">
        <color rgb="FFDDF2F0"/>
      </right>
      <top style="hair">
        <color rgb="FFDDF2F0"/>
      </top>
      <bottom style="hair">
        <color rgb="FFDDF2F0"/>
      </bottom>
    </border>
    <border>
      <left style="hair">
        <color rgb="FFDDF2F0"/>
      </left>
      <right style="hair">
        <color rgb="FF26A69A"/>
      </right>
      <top style="hair">
        <color rgb="FFDDF2F0"/>
      </top>
      <bottom style="hair">
        <color rgb="FFDDF2F0"/>
      </bottom>
    </border>
    <border>
      <left style="hair">
        <color rgb="FF26A69A"/>
      </left>
      <right style="hair">
        <color rgb="FFDDF2F0"/>
      </right>
      <top style="hair">
        <color rgb="FFDDF2F0"/>
      </top>
    </border>
    <border>
      <left style="hair">
        <color rgb="FFDDF2F0"/>
      </left>
      <right style="hair">
        <color rgb="FF26A69A"/>
      </right>
      <top style="hair">
        <color rgb="FFDDF2F0"/>
      </top>
    </border>
    <border>
      <left style="hair">
        <color rgb="FF26A69A"/>
      </left>
    </border>
    <border>
      <right style="hair">
        <color rgb="FF26A69A"/>
      </right>
    </border>
    <border>
      <left style="hair">
        <color rgb="FF26A69A"/>
      </left>
      <right style="hair">
        <color rgb="FFDDF2F0"/>
      </right>
      <top style="hair">
        <color rgb="FFDDF2F0"/>
      </top>
      <bottom style="hair">
        <color rgb="FF26A69A"/>
      </bottom>
    </border>
    <border>
      <left style="hair">
        <color rgb="FFDDF2F0"/>
      </left>
      <right style="hair">
        <color rgb="FFDDF2F0"/>
      </right>
      <top style="hair">
        <color rgb="FFDDF2F0"/>
      </top>
      <bottom style="hair">
        <color rgb="FF26A69A"/>
      </bottom>
    </border>
    <border>
      <left style="hair">
        <color rgb="FFDDF2F0"/>
      </left>
      <right style="hair">
        <color rgb="FF26A69A"/>
      </right>
      <top style="hair">
        <color rgb="FFDDF2F0"/>
      </top>
      <bottom style="hair">
        <color rgb="FF26A69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left style="thick">
        <color rgb="FF26A69A"/>
      </left>
      <top style="thick">
        <color rgb="FF26A69A"/>
      </top>
      <bottom style="hair">
        <color rgb="FF26A69A"/>
      </bottom>
    </border>
    <border>
      <left style="thick">
        <color rgb="FF26A69A"/>
      </left>
      <right style="hair">
        <color rgb="FF26A69A"/>
      </right>
      <top style="hair">
        <color rgb="FF26A69A"/>
      </top>
      <bottom style="hair">
        <color rgb="FF26A69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ck">
        <color rgb="FF26A69A"/>
      </left>
      <right style="hair">
        <color rgb="FFDDF2F0"/>
      </right>
      <top style="thick">
        <color rgb="FF26A69A"/>
      </top>
      <bottom style="thick">
        <color rgb="FF26A69A"/>
      </bottom>
    </border>
    <border>
      <left style="hair">
        <color rgb="FFDDF2F0"/>
      </left>
      <right style="hair">
        <color rgb="FFDDF2F0"/>
      </right>
      <top style="thick">
        <color rgb="FF26A69A"/>
      </top>
      <bottom style="thick">
        <color rgb="FF26A69A"/>
      </bottom>
    </border>
    <border>
      <left style="hair">
        <color rgb="FFDDF2F0"/>
      </left>
      <right style="thick">
        <color rgb="FF26A69A"/>
      </right>
      <top style="thick">
        <color rgb="FF26A69A"/>
      </top>
      <bottom style="thick">
        <color rgb="FF26A69A"/>
      </bottom>
    </border>
  </borders>
  <cellStyleXfs count="1">
    <xf borderId="0" fillId="0" fontId="0" numFmtId="0" applyAlignment="1" applyFont="1"/>
  </cellStyleXfs>
  <cellXfs count="9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2" fillId="2" fontId="3" numFmtId="0" xfId="0" applyBorder="1" applyFont="1"/>
    <xf borderId="3" fillId="0" fontId="4" numFmtId="0" xfId="0" applyAlignment="1" applyBorder="1" applyFont="1">
      <alignment horizontal="center" vertical="bottom"/>
    </xf>
    <xf borderId="3" fillId="0" fontId="4" numFmtId="164" xfId="0" applyAlignment="1" applyBorder="1" applyFont="1" applyNumberFormat="1">
      <alignment horizontal="center" vertical="bottom"/>
    </xf>
    <xf borderId="0" fillId="0" fontId="5" numFmtId="0" xfId="0" applyFont="1"/>
    <xf borderId="0" fillId="4" fontId="6" numFmtId="0" xfId="0" applyAlignment="1" applyFill="1" applyFont="1">
      <alignment horizontal="center" shrinkToFit="0" vertical="center" wrapText="1"/>
    </xf>
    <xf borderId="0" fillId="0" fontId="7" numFmtId="0" xfId="0" applyFont="1"/>
    <xf borderId="3" fillId="0" fontId="3" numFmtId="164" xfId="0" applyAlignment="1" applyBorder="1" applyFont="1" applyNumberFormat="1">
      <alignment horizontal="center"/>
    </xf>
    <xf borderId="0" fillId="4" fontId="8" numFmtId="0" xfId="0" applyAlignment="1" applyFont="1">
      <alignment horizontal="center" shrinkToFit="0" vertical="center" wrapText="1"/>
    </xf>
    <xf borderId="0" fillId="0" fontId="9" numFmtId="0" xfId="0" applyFont="1"/>
    <xf borderId="3" fillId="0" fontId="3" numFmtId="0" xfId="0" applyAlignment="1" applyBorder="1" applyFont="1">
      <alignment horizontal="center"/>
    </xf>
    <xf borderId="0" fillId="4" fontId="8" numFmtId="0" xfId="0" applyAlignment="1" applyFont="1">
      <alignment horizontal="right" shrinkToFit="0" vertical="center" wrapText="1"/>
    </xf>
    <xf borderId="0" fillId="0" fontId="3" numFmtId="0" xfId="0" applyFont="1"/>
    <xf borderId="0" fillId="4" fontId="10" numFmtId="0" xfId="0" applyFont="1"/>
    <xf borderId="0" fillId="0" fontId="10" numFmtId="0" xfId="0" applyAlignment="1" applyFont="1">
      <alignment horizontal="center"/>
    </xf>
    <xf borderId="0" fillId="0" fontId="10" numFmtId="0" xfId="0" applyFont="1"/>
    <xf borderId="0" fillId="2" fontId="8" numFmtId="0" xfId="0" applyAlignment="1" applyFont="1">
      <alignment horizontal="center" shrinkToFit="0" vertical="center" wrapText="1"/>
    </xf>
    <xf borderId="4" fillId="2" fontId="11" numFmtId="0" xfId="0" applyAlignment="1" applyBorder="1" applyFont="1">
      <alignment horizontal="left"/>
    </xf>
    <xf borderId="5" fillId="0" fontId="4" numFmtId="0" xfId="0" applyAlignment="1" applyBorder="1" applyFont="1">
      <alignment horizontal="center" vertical="bottom"/>
    </xf>
    <xf borderId="6" fillId="0" fontId="12" numFmtId="0" xfId="0" applyBorder="1" applyFont="1"/>
    <xf borderId="0" fillId="2" fontId="10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2" fontId="10" numFmtId="0" xfId="0" applyFont="1"/>
    <xf borderId="7" fillId="0" fontId="12" numFmtId="0" xfId="0" applyBorder="1" applyFont="1"/>
    <xf borderId="5" fillId="0" fontId="4" numFmtId="164" xfId="0" applyAlignment="1" applyBorder="1" applyFont="1" applyNumberFormat="1">
      <alignment horizontal="center" vertical="bottom"/>
    </xf>
    <xf borderId="0" fillId="4" fontId="3" numFmtId="0" xfId="0" applyFont="1"/>
    <xf borderId="0" fillId="4" fontId="13" numFmtId="0" xfId="0" applyAlignment="1" applyFont="1">
      <alignment horizontal="left"/>
    </xf>
    <xf borderId="0" fillId="4" fontId="8" numFmtId="4" xfId="0" applyAlignment="1" applyFont="1" applyNumberFormat="1">
      <alignment horizontal="right" shrinkToFit="0" vertical="center" wrapText="1"/>
    </xf>
    <xf borderId="0" fillId="4" fontId="14" numFmtId="0" xfId="0" applyFont="1"/>
    <xf borderId="0" fillId="0" fontId="5" numFmtId="0" xfId="0" applyFont="1"/>
    <xf borderId="0" fillId="4" fontId="14" numFmtId="164" xfId="0" applyFont="1" applyNumberFormat="1"/>
    <xf borderId="0" fillId="4" fontId="3" numFmtId="0" xfId="0" applyAlignment="1" applyFont="1">
      <alignment horizontal="center"/>
    </xf>
    <xf borderId="0" fillId="4" fontId="3" numFmtId="164" xfId="0" applyFont="1" applyNumberFormat="1"/>
    <xf borderId="0" fillId="0" fontId="3" numFmtId="0" xfId="0" applyFont="1"/>
    <xf borderId="2" fillId="5" fontId="8" numFmtId="0" xfId="0" applyAlignment="1" applyBorder="1" applyFill="1" applyFont="1">
      <alignment horizontal="center" shrinkToFit="0" vertical="center" wrapText="1"/>
    </xf>
    <xf borderId="2" fillId="5" fontId="8" numFmtId="4" xfId="0" applyAlignment="1" applyBorder="1" applyFont="1" applyNumberFormat="1">
      <alignment horizontal="center" shrinkToFit="0" vertical="center" wrapText="1"/>
    </xf>
    <xf borderId="2" fillId="5" fontId="8" numFmtId="4" xfId="0" applyAlignment="1" applyBorder="1" applyFont="1" applyNumberFormat="1">
      <alignment horizontal="right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5" fontId="15" numFmtId="0" xfId="0" applyAlignment="1" applyBorder="1" applyFont="1">
      <alignment horizontal="center" shrinkToFit="0" vertical="center" wrapText="1"/>
    </xf>
    <xf borderId="0" fillId="4" fontId="10" numFmtId="3" xfId="0" applyFont="1" applyNumberFormat="1"/>
    <xf borderId="8" fillId="2" fontId="14" numFmtId="164" xfId="0" applyAlignment="1" applyBorder="1" applyFont="1" applyNumberFormat="1">
      <alignment horizontal="center" readingOrder="0" shrinkToFit="0" vertical="center" wrapText="1"/>
    </xf>
    <xf borderId="0" fillId="4" fontId="10" numFmtId="3" xfId="0" applyAlignment="1" applyFont="1" applyNumberFormat="1">
      <alignment horizontal="right"/>
    </xf>
    <xf borderId="10" fillId="2" fontId="14" numFmtId="164" xfId="0" applyAlignment="1" applyBorder="1" applyFont="1" applyNumberFormat="1">
      <alignment horizontal="center" readingOrder="0" shrinkToFit="0" vertical="center" wrapText="1"/>
    </xf>
    <xf borderId="0" fillId="4" fontId="10" numFmtId="9" xfId="0" applyAlignment="1" applyFont="1" applyNumberFormat="1">
      <alignment horizontal="center"/>
    </xf>
    <xf borderId="0" fillId="4" fontId="3" numFmtId="0" xfId="0" applyAlignment="1" applyFont="1">
      <alignment shrinkToFit="0" vertical="center" wrapText="1"/>
    </xf>
    <xf borderId="0" fillId="0" fontId="10" numFmtId="3" xfId="0" applyAlignment="1" applyFont="1" applyNumberFormat="1">
      <alignment horizontal="center"/>
    </xf>
    <xf borderId="0" fillId="4" fontId="10" numFmtId="2" xfId="0" applyFont="1" applyNumberFormat="1"/>
    <xf borderId="0" fillId="4" fontId="10" numFmtId="164" xfId="0" applyFont="1" applyNumberFormat="1"/>
    <xf borderId="0" fillId="0" fontId="14" numFmtId="0" xfId="0" applyAlignment="1" applyFont="1">
      <alignment shrinkToFit="0" vertical="center" wrapText="0"/>
    </xf>
    <xf borderId="0" fillId="4" fontId="16" numFmtId="0" xfId="0" applyFont="1"/>
    <xf borderId="0" fillId="0" fontId="3" numFmtId="0" xfId="0" applyAlignment="1" applyFont="1">
      <alignment shrinkToFit="0" vertical="center" wrapText="0"/>
    </xf>
    <xf borderId="0" fillId="5" fontId="10" numFmtId="0" xfId="0" applyFont="1"/>
    <xf borderId="0" fillId="5" fontId="10" numFmtId="3" xfId="0" applyFont="1" applyNumberFormat="1"/>
    <xf borderId="0" fillId="0" fontId="14" numFmtId="3" xfId="0" applyAlignment="1" applyFont="1" applyNumberFormat="1">
      <alignment shrinkToFit="0" vertical="center" wrapText="0"/>
    </xf>
    <xf borderId="0" fillId="5" fontId="10" numFmtId="3" xfId="0" applyAlignment="1" applyFont="1" applyNumberFormat="1">
      <alignment horizontal="right"/>
    </xf>
    <xf borderId="0" fillId="5" fontId="10" numFmtId="9" xfId="0" applyAlignment="1" applyFont="1" applyNumberFormat="1">
      <alignment horizontal="center"/>
    </xf>
    <xf borderId="0" fillId="0" fontId="14" numFmtId="164" xfId="0" applyAlignment="1" applyFont="1" applyNumberFormat="1">
      <alignment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5" fontId="10" numFmtId="3" xfId="0" applyAlignment="1" applyFont="1" applyNumberFormat="1">
      <alignment horizontal="center"/>
    </xf>
    <xf borderId="0" fillId="5" fontId="10" numFmtId="164" xfId="0" applyFont="1" applyNumberFormat="1"/>
    <xf borderId="0" fillId="4" fontId="14" numFmtId="0" xfId="0" applyAlignment="1" applyFont="1">
      <alignment horizontal="center" shrinkToFit="0" vertical="center" wrapText="0"/>
    </xf>
    <xf borderId="3" fillId="0" fontId="4" numFmtId="0" xfId="0" applyAlignment="1" applyBorder="1" applyFont="1">
      <alignment vertical="bottom"/>
    </xf>
    <xf borderId="0" fillId="0" fontId="10" numFmtId="3" xfId="0" applyAlignment="1" applyFont="1" applyNumberFormat="1">
      <alignment horizontal="right"/>
    </xf>
    <xf borderId="3" fillId="0" fontId="4" numFmtId="164" xfId="0" applyAlignment="1" applyBorder="1" applyFont="1" applyNumberFormat="1">
      <alignment vertical="bottom"/>
    </xf>
    <xf borderId="0" fillId="0" fontId="3" numFmtId="164" xfId="0" applyFont="1" applyNumberFormat="1"/>
    <xf borderId="0" fillId="0" fontId="3" numFmtId="4" xfId="0" applyFont="1" applyNumberFormat="1"/>
    <xf borderId="0" fillId="0" fontId="17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10" numFmtId="0" xfId="0" applyAlignment="1" applyFont="1">
      <alignment horizontal="right"/>
    </xf>
    <xf borderId="0" fillId="0" fontId="4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5" fontId="10" numFmtId="9" xfId="0" applyFont="1" applyNumberFormat="1"/>
    <xf borderId="0" fillId="5" fontId="10" numFmtId="10" xfId="0" applyFont="1" applyNumberFormat="1"/>
    <xf borderId="0" fillId="6" fontId="15" numFmtId="0" xfId="0" applyAlignment="1" applyFill="1" applyFont="1">
      <alignment horizontal="center" shrinkToFit="0" vertical="center" wrapText="1"/>
    </xf>
    <xf borderId="0" fillId="6" fontId="15" numFmtId="0" xfId="0" applyAlignment="1" applyFont="1">
      <alignment horizontal="right" shrinkToFit="0" vertical="center" wrapText="1"/>
    </xf>
    <xf borderId="0" fillId="0" fontId="10" numFmtId="3" xfId="0" applyAlignment="1" applyFont="1" applyNumberFormat="1">
      <alignment horizontal="right" vertical="center"/>
    </xf>
    <xf borderId="0" fillId="4" fontId="10" numFmtId="0" xfId="0" applyAlignment="1" applyFont="1">
      <alignment horizontal="center"/>
    </xf>
    <xf borderId="0" fillId="7" fontId="10" numFmtId="0" xfId="0" applyFill="1" applyFont="1"/>
    <xf borderId="0" fillId="4" fontId="15" numFmtId="0" xfId="0" applyAlignment="1" applyFont="1">
      <alignment horizontal="center" shrinkToFit="0" vertical="center" wrapText="1"/>
    </xf>
    <xf borderId="0" fillId="4" fontId="10" numFmtId="164" xfId="0" applyAlignment="1" applyFont="1" applyNumberFormat="1">
      <alignment horizontal="right"/>
    </xf>
    <xf borderId="0" fillId="4" fontId="10" numFmtId="4" xfId="0" applyFont="1" applyNumberFormat="1"/>
    <xf borderId="0" fillId="5" fontId="10" numFmtId="164" xfId="0" applyAlignment="1" applyFont="1" applyNumberFormat="1">
      <alignment horizontal="right"/>
    </xf>
    <xf borderId="0" fillId="5" fontId="10" numFmtId="0" xfId="0" applyAlignment="1" applyFont="1">
      <alignment horizontal="center"/>
    </xf>
    <xf borderId="0" fillId="5" fontId="10" numFmtId="4" xfId="0" applyFont="1" applyNumberFormat="1"/>
    <xf borderId="0" fillId="0" fontId="10" numFmtId="164" xfId="0" applyAlignment="1" applyFont="1" applyNumberFormat="1">
      <alignment horizontal="right"/>
    </xf>
    <xf borderId="3" fillId="6" fontId="15" numFmtId="0" xfId="0" applyAlignment="1" applyBorder="1" applyFont="1">
      <alignment horizontal="center" shrinkToFit="0" vertical="center" wrapText="1"/>
    </xf>
    <xf borderId="3" fillId="6" fontId="15" numFmtId="0" xfId="0" applyAlignment="1" applyBorder="1" applyFont="1">
      <alignment horizontal="right" shrinkToFit="0" vertical="center" wrapText="1"/>
    </xf>
    <xf borderId="3" fillId="0" fontId="10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center" shrinkToFit="0" vertical="center" wrapText="1"/>
    </xf>
    <xf borderId="0" fillId="0" fontId="8" numFmtId="4" xfId="0" applyAlignment="1" applyFont="1" applyNumberFormat="1">
      <alignment horizontal="right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2" fillId="5" fontId="8" numFmtId="4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center"/>
    </xf>
    <xf borderId="2" fillId="5" fontId="15" numFmtId="0" xfId="0" applyAlignment="1" applyBorder="1" applyFont="1">
      <alignment horizontal="center" shrinkToFit="0" vertical="center" wrapText="1"/>
    </xf>
    <xf borderId="2" fillId="5" fontId="15" numFmtId="0" xfId="0" applyAlignment="1" applyBorder="1" applyFont="1">
      <alignment horizontal="right" shrinkToFit="0" vertical="center" wrapText="1"/>
    </xf>
    <xf borderId="2" fillId="5" fontId="10" numFmtId="164" xfId="0" applyAlignment="1" applyBorder="1" applyFont="1" applyNumberFormat="1">
      <alignment horizontal="right" vertical="center"/>
    </xf>
    <xf borderId="0" fillId="2" fontId="10" numFmtId="0" xfId="0" applyAlignment="1" applyFont="1">
      <alignment horizontal="center"/>
    </xf>
    <xf borderId="0" fillId="4" fontId="10" numFmtId="0" xfId="0" applyAlignment="1" applyFont="1">
      <alignment horizontal="center"/>
    </xf>
    <xf borderId="0" fillId="7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2" fillId="5" fontId="6" numFmtId="0" xfId="0" applyAlignment="1" applyBorder="1" applyFont="1">
      <alignment horizontal="center" shrinkToFit="0" vertical="center" wrapText="1"/>
    </xf>
    <xf borderId="2" fillId="5" fontId="6" numFmtId="4" xfId="0" applyAlignment="1" applyBorder="1" applyFont="1" applyNumberFormat="1">
      <alignment horizontal="center" shrinkToFit="0" vertical="center" wrapText="1"/>
    </xf>
    <xf borderId="2" fillId="5" fontId="6" numFmtId="4" xfId="0" applyAlignment="1" applyBorder="1" applyFont="1" applyNumberFormat="1">
      <alignment horizontal="right" shrinkToFit="0" vertical="center" wrapText="1"/>
    </xf>
    <xf borderId="2" fillId="5" fontId="6" numFmtId="4" xfId="0" applyAlignment="1" applyBorder="1" applyFont="1" applyNumberFormat="1">
      <alignment horizontal="right" shrinkToFit="0" vertical="center" wrapText="1"/>
    </xf>
    <xf borderId="0" fillId="0" fontId="21" numFmtId="0" xfId="0" applyFont="1"/>
    <xf borderId="2" fillId="5" fontId="6" numFmtId="0" xfId="0" applyAlignment="1" applyBorder="1" applyFont="1">
      <alignment horizontal="center" shrinkToFit="0" vertical="center" wrapText="1"/>
    </xf>
    <xf borderId="9" fillId="5" fontId="6" numFmtId="0" xfId="0" applyAlignment="1" applyBorder="1" applyFont="1">
      <alignment horizontal="center" shrinkToFit="0" vertical="center" wrapText="1"/>
    </xf>
    <xf borderId="0" fillId="4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0" fontId="10" numFmtId="164" xfId="0" applyFont="1" applyNumberFormat="1"/>
    <xf borderId="0" fillId="0" fontId="3" numFmtId="4" xfId="0" applyFont="1" applyNumberFormat="1"/>
    <xf borderId="0" fillId="4" fontId="10" numFmtId="0" xfId="0" applyFont="1"/>
    <xf borderId="0" fillId="0" fontId="10" numFmtId="0" xfId="0" applyFont="1"/>
    <xf borderId="0" fillId="4" fontId="10" numFmtId="4" xfId="0" applyFont="1" applyNumberFormat="1"/>
    <xf borderId="0" fillId="0" fontId="10" numFmtId="164" xfId="0" applyFont="1" applyNumberFormat="1"/>
    <xf borderId="0" fillId="0" fontId="10" numFmtId="4" xfId="0" applyFont="1" applyNumberFormat="1"/>
    <xf borderId="2" fillId="6" fontId="15" numFmtId="0" xfId="0" applyAlignment="1" applyBorder="1" applyFont="1">
      <alignment horizontal="center" shrinkToFit="0" vertical="center" wrapText="1"/>
    </xf>
    <xf borderId="2" fillId="6" fontId="15" numFmtId="0" xfId="0" applyAlignment="1" applyBorder="1" applyFont="1">
      <alignment horizontal="right" shrinkToFit="0" vertical="center" wrapText="1"/>
    </xf>
    <xf borderId="2" fillId="0" fontId="10" numFmtId="164" xfId="0" applyAlignment="1" applyBorder="1" applyFont="1" applyNumberFormat="1">
      <alignment horizontal="right" vertical="center"/>
    </xf>
    <xf borderId="0" fillId="4" fontId="21" numFmtId="0" xfId="0" applyFont="1"/>
    <xf borderId="0" fillId="4" fontId="22" numFmtId="0" xfId="0" applyFont="1"/>
    <xf borderId="8" fillId="2" fontId="14" numFmtId="0" xfId="0" applyAlignment="1" applyBorder="1" applyFont="1">
      <alignment horizontal="center" shrinkToFit="0" vertical="center" wrapText="1"/>
    </xf>
    <xf borderId="8" fillId="2" fontId="14" numFmtId="164" xfId="0" applyAlignment="1" applyBorder="1" applyFont="1" applyNumberFormat="1">
      <alignment horizontal="center" shrinkToFit="0" vertical="center" wrapText="1"/>
    </xf>
    <xf borderId="0" fillId="5" fontId="10" numFmtId="0" xfId="0" applyAlignment="1" applyFont="1">
      <alignment horizontal="center"/>
    </xf>
    <xf borderId="10" fillId="2" fontId="14" numFmtId="164" xfId="0" applyAlignment="1" applyBorder="1" applyFont="1" applyNumberFormat="1">
      <alignment horizontal="center" shrinkToFit="0" vertical="center" wrapText="1"/>
    </xf>
    <xf borderId="0" fillId="5" fontId="10" numFmtId="164" xfId="0" applyFont="1" applyNumberFormat="1"/>
    <xf borderId="0" fillId="4" fontId="14" numFmtId="0" xfId="0" applyAlignment="1" applyFont="1">
      <alignment horizontal="center"/>
    </xf>
    <xf borderId="0" fillId="0" fontId="14" numFmtId="0" xfId="0" applyFont="1"/>
    <xf borderId="0" fillId="0" fontId="22" numFmtId="164" xfId="0" applyFont="1" applyNumberFormat="1"/>
    <xf borderId="0" fillId="0" fontId="14" numFmtId="164" xfId="0" applyFont="1" applyNumberFormat="1"/>
    <xf borderId="0" fillId="0" fontId="14" numFmtId="0" xfId="0" applyAlignment="1" applyFont="1">
      <alignment horizontal="center"/>
    </xf>
    <xf borderId="2" fillId="0" fontId="8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9" fillId="5" fontId="15" numFmtId="0" xfId="0" applyAlignment="1" applyBorder="1" applyFont="1">
      <alignment horizontal="center" shrinkToFit="0" vertical="center" wrapText="1"/>
    </xf>
    <xf borderId="0" fillId="0" fontId="10" numFmtId="4" xfId="0" applyAlignment="1" applyFont="1" applyNumberFormat="1">
      <alignment horizontal="center"/>
    </xf>
    <xf borderId="0" fillId="5" fontId="10" numFmtId="4" xfId="0" applyAlignment="1" applyFont="1" applyNumberFormat="1">
      <alignment horizontal="center"/>
    </xf>
    <xf borderId="2" fillId="5" fontId="10" numFmtId="3" xfId="0" applyAlignment="1" applyBorder="1" applyFont="1" applyNumberFormat="1">
      <alignment horizontal="right" vertical="center"/>
    </xf>
    <xf borderId="0" fillId="2" fontId="14" numFmtId="0" xfId="0" applyFont="1"/>
    <xf borderId="0" fillId="2" fontId="22" numFmtId="164" xfId="0" applyFont="1" applyNumberFormat="1"/>
    <xf borderId="0" fillId="5" fontId="8" numFmtId="0" xfId="0" applyAlignment="1" applyFont="1">
      <alignment horizontal="center" shrinkToFit="0" vertical="center" wrapText="1"/>
    </xf>
    <xf borderId="0" fillId="2" fontId="14" numFmtId="164" xfId="0" applyFont="1" applyNumberFormat="1"/>
    <xf borderId="0" fillId="5" fontId="8" numFmtId="4" xfId="0" applyAlignment="1" applyFont="1" applyNumberFormat="1">
      <alignment horizontal="right" shrinkToFit="0" vertical="center" wrapText="1"/>
    </xf>
    <xf borderId="0" fillId="5" fontId="8" numFmtId="4" xfId="0" applyAlignment="1" applyFont="1" applyNumberFormat="1">
      <alignment horizontal="right" shrinkToFit="0" vertical="center" wrapText="1"/>
    </xf>
    <xf borderId="0" fillId="2" fontId="14" numFmtId="0" xfId="0" applyAlignment="1" applyFont="1">
      <alignment horizontal="center"/>
    </xf>
    <xf borderId="0" fillId="3" fontId="10" numFmtId="9" xfId="0" applyAlignment="1" applyFont="1" applyNumberFormat="1">
      <alignment horizontal="center"/>
    </xf>
    <xf borderId="0" fillId="2" fontId="14" numFmtId="0" xfId="0" applyAlignment="1" applyFont="1">
      <alignment horizontal="center" shrinkToFit="0" vertical="center" wrapText="1"/>
    </xf>
    <xf borderId="0" fillId="0" fontId="3" numFmtId="164" xfId="0" applyFont="1" applyNumberFormat="1"/>
    <xf borderId="0" fillId="0" fontId="14" numFmtId="3" xfId="0" applyFont="1" applyNumberFormat="1"/>
    <xf borderId="0" fillId="0" fontId="3" numFmtId="0" xfId="0" applyAlignment="1" applyFont="1">
      <alignment horizontal="center"/>
    </xf>
    <xf borderId="0" fillId="0" fontId="23" numFmtId="164" xfId="0" applyFont="1" applyNumberFormat="1"/>
    <xf borderId="0" fillId="0" fontId="22" numFmtId="0" xfId="0" applyAlignment="1" applyFont="1">
      <alignment horizontal="center"/>
    </xf>
    <xf borderId="0" fillId="0" fontId="22" numFmtId="0" xfId="0" applyFont="1"/>
    <xf borderId="0" fillId="4" fontId="22" numFmtId="0" xfId="0" applyAlignment="1" applyFont="1">
      <alignment horizontal="center"/>
    </xf>
    <xf borderId="8" fillId="2" fontId="22" numFmtId="0" xfId="0" applyAlignment="1" applyBorder="1" applyFont="1">
      <alignment horizontal="center" readingOrder="0" shrinkToFit="0" vertical="center" wrapText="1"/>
    </xf>
    <xf borderId="8" fillId="2" fontId="22" numFmtId="164" xfId="0" applyAlignment="1" applyBorder="1" applyFont="1" applyNumberFormat="1">
      <alignment horizontal="center" readingOrder="0" shrinkToFit="0" vertical="center" wrapText="1"/>
    </xf>
    <xf borderId="0" fillId="0" fontId="22" numFmtId="164" xfId="0" applyAlignment="1" applyFont="1" applyNumberFormat="1">
      <alignment shrinkToFit="0" vertical="center" wrapText="0"/>
    </xf>
    <xf borderId="0" fillId="0" fontId="23" numFmtId="164" xfId="0" applyAlignment="1" applyFont="1" applyNumberFormat="1">
      <alignment shrinkToFit="0" vertical="center" wrapText="0"/>
    </xf>
    <xf borderId="0" fillId="0" fontId="14" numFmtId="164" xfId="0" applyAlignment="1" applyFont="1" applyNumberFormat="1">
      <alignment horizontal="right" shrinkToFit="0" vertical="center" wrapText="0"/>
    </xf>
    <xf borderId="0" fillId="0" fontId="22" numFmtId="0" xfId="0" applyAlignment="1" applyFont="1">
      <alignment shrinkToFit="0" vertical="center" wrapText="0"/>
    </xf>
    <xf borderId="0" fillId="7" fontId="3" numFmtId="0" xfId="0" applyAlignment="1" applyFon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1"/>
    </xf>
    <xf borderId="0" fillId="0" fontId="9" numFmtId="0" xfId="0" applyFont="1"/>
    <xf borderId="0" fillId="0" fontId="9" numFmtId="10" xfId="0" applyFont="1" applyNumberFormat="1"/>
    <xf borderId="0" fillId="0" fontId="9" numFmtId="10" xfId="0" applyAlignment="1" applyFont="1" applyNumberFormat="1">
      <alignment horizontal="center"/>
    </xf>
    <xf borderId="0" fillId="4" fontId="25" numFmtId="0" xfId="0" applyAlignment="1" applyFont="1">
      <alignment horizontal="center" shrinkToFit="0" vertical="center" wrapText="1"/>
    </xf>
    <xf borderId="11" fillId="4" fontId="26" numFmtId="0" xfId="0" applyAlignment="1" applyBorder="1" applyFont="1">
      <alignment horizontal="center" shrinkToFit="0" vertical="center" wrapText="1"/>
    </xf>
    <xf borderId="12" fillId="0" fontId="12" numFmtId="0" xfId="0" applyBorder="1" applyFont="1"/>
    <xf borderId="13" fillId="0" fontId="12" numFmtId="0" xfId="0" applyBorder="1" applyFont="1"/>
    <xf borderId="0" fillId="4" fontId="13" numFmtId="164" xfId="0" applyAlignment="1" applyFont="1" applyNumberForma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14" fillId="2" fontId="27" numFmtId="0" xfId="0" applyAlignment="1" applyBorder="1" applyFont="1">
      <alignment horizontal="center" shrinkToFit="0" vertical="center" wrapText="1"/>
    </xf>
    <xf borderId="15" fillId="0" fontId="12" numFmtId="0" xfId="0" applyBorder="1" applyFont="1"/>
    <xf borderId="16" fillId="0" fontId="12" numFmtId="0" xfId="0" applyBorder="1" applyFont="1"/>
    <xf borderId="15" fillId="2" fontId="27" numFmtId="0" xfId="0" applyAlignment="1" applyBorder="1" applyFont="1">
      <alignment horizontal="center" shrinkToFit="0" vertical="center" wrapText="1"/>
    </xf>
    <xf borderId="16" fillId="2" fontId="2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7" fillId="5" fontId="28" numFmtId="0" xfId="0" applyAlignment="1" applyBorder="1" applyFont="1">
      <alignment horizontal="center" shrinkToFit="0" vertical="center" wrapText="1"/>
    </xf>
    <xf borderId="17" fillId="5" fontId="29" numFmtId="164" xfId="0" applyAlignment="1" applyBorder="1" applyFont="1" applyNumberFormat="1">
      <alignment horizontal="center" shrinkToFit="0" vertical="center" wrapText="1"/>
    </xf>
    <xf borderId="11" fillId="5" fontId="29" numFmtId="0" xfId="0" applyAlignment="1" applyBorder="1" applyFont="1">
      <alignment horizontal="center" shrinkToFit="0" vertical="center" wrapText="1"/>
    </xf>
    <xf borderId="18" fillId="5" fontId="30" numFmtId="0" xfId="0" applyAlignment="1" applyBorder="1" applyFont="1">
      <alignment horizontal="center" shrinkToFit="0" vertical="center" wrapText="1"/>
    </xf>
    <xf borderId="0" fillId="5" fontId="30" numFmtId="0" xfId="0" applyAlignment="1" applyFont="1">
      <alignment horizontal="center" shrinkToFit="0" vertical="center" wrapText="1"/>
    </xf>
    <xf borderId="19" fillId="5" fontId="30" numFmtId="0" xfId="0" applyAlignment="1" applyBorder="1" applyFont="1">
      <alignment horizontal="center" shrinkToFit="0" vertical="center" wrapText="1"/>
    </xf>
    <xf borderId="20" fillId="5" fontId="30" numFmtId="0" xfId="0" applyAlignment="1" applyBorder="1" applyFont="1">
      <alignment horizontal="center" shrinkToFit="0" vertical="center" wrapText="1"/>
    </xf>
    <xf borderId="21" fillId="5" fontId="30" numFmtId="0" xfId="0" applyAlignment="1" applyBorder="1" applyFont="1">
      <alignment horizontal="center" shrinkToFit="0" vertical="center" wrapText="1"/>
    </xf>
    <xf borderId="22" fillId="5" fontId="30" numFmtId="0" xfId="0" applyAlignment="1" applyBorder="1" applyFont="1">
      <alignment horizontal="center" shrinkToFit="0" vertical="center" wrapText="1"/>
    </xf>
    <xf borderId="0" fillId="0" fontId="31" numFmtId="0" xfId="0" applyFont="1"/>
    <xf borderId="0" fillId="0" fontId="31" numFmtId="0" xfId="0" applyAlignment="1" applyFont="1">
      <alignment horizontal="center" vertical="center"/>
    </xf>
    <xf borderId="0" fillId="0" fontId="31" numFmtId="0" xfId="0" applyAlignment="1" applyFont="1">
      <alignment horizontal="center"/>
    </xf>
    <xf borderId="0" fillId="0" fontId="31" numFmtId="164" xfId="0" applyAlignment="1" applyFont="1" applyNumberFormat="1">
      <alignment horizontal="center"/>
    </xf>
    <xf borderId="0" fillId="0" fontId="31" numFmtId="49" xfId="0" applyAlignment="1" applyFont="1" applyNumberFormat="1">
      <alignment horizontal="center"/>
    </xf>
    <xf borderId="18" fillId="4" fontId="32" numFmtId="164" xfId="0" applyAlignment="1" applyBorder="1" applyFont="1" applyNumberFormat="1">
      <alignment horizontal="right" vertical="bottom"/>
    </xf>
    <xf borderId="0" fillId="4" fontId="4" numFmtId="164" xfId="0" applyAlignment="1" applyFont="1" applyNumberFormat="1">
      <alignment horizontal="center" vertical="bottom"/>
    </xf>
    <xf borderId="0" fillId="4" fontId="4" numFmtId="10" xfId="0" applyAlignment="1" applyFont="1" applyNumberFormat="1">
      <alignment horizontal="center" vertical="bottom"/>
    </xf>
    <xf borderId="19" fillId="4" fontId="4" numFmtId="4" xfId="0" applyAlignment="1" applyBorder="1" applyFont="1" applyNumberFormat="1">
      <alignment horizontal="center" vertical="bottom"/>
    </xf>
    <xf borderId="23" fillId="4" fontId="32" numFmtId="0" xfId="0" applyAlignment="1" applyBorder="1" applyFont="1">
      <alignment horizontal="right" vertical="bottom"/>
    </xf>
    <xf borderId="24" fillId="4" fontId="32" numFmtId="10" xfId="0" applyAlignment="1" applyBorder="1" applyFont="1" applyNumberFormat="1">
      <alignment horizontal="center" vertical="bottom"/>
    </xf>
    <xf borderId="24" fillId="0" fontId="31" numFmtId="0" xfId="0" applyBorder="1" applyFont="1"/>
    <xf borderId="25" fillId="0" fontId="31" numFmtId="0" xfId="0" applyBorder="1" applyFont="1"/>
    <xf borderId="0" fillId="3" fontId="31" numFmtId="0" xfId="0" applyFont="1"/>
    <xf borderId="0" fillId="3" fontId="31" numFmtId="0" xfId="0" applyAlignment="1" applyFont="1">
      <alignment horizontal="center" vertical="center"/>
    </xf>
    <xf borderId="0" fillId="3" fontId="31" numFmtId="0" xfId="0" applyAlignment="1" applyFont="1">
      <alignment horizontal="center"/>
    </xf>
    <xf borderId="0" fillId="3" fontId="31" numFmtId="164" xfId="0" applyAlignment="1" applyFont="1" applyNumberFormat="1">
      <alignment horizontal="center"/>
    </xf>
    <xf borderId="18" fillId="3" fontId="32" numFmtId="164" xfId="0" applyAlignment="1" applyBorder="1" applyFont="1" applyNumberFormat="1">
      <alignment horizontal="right" vertical="bottom"/>
    </xf>
    <xf borderId="0" fillId="3" fontId="4" numFmtId="164" xfId="0" applyAlignment="1" applyFont="1" applyNumberFormat="1">
      <alignment horizontal="center" vertical="bottom"/>
    </xf>
    <xf borderId="0" fillId="3" fontId="32" numFmtId="10" xfId="0" applyAlignment="1" applyFont="1" applyNumberFormat="1">
      <alignment horizontal="center" vertical="bottom"/>
    </xf>
    <xf borderId="19" fillId="3" fontId="4" numFmtId="4" xfId="0" applyAlignment="1" applyBorder="1" applyFont="1" applyNumberFormat="1">
      <alignment horizontal="center" vertical="bottom"/>
    </xf>
    <xf borderId="23" fillId="3" fontId="32" numFmtId="0" xfId="0" applyAlignment="1" applyBorder="1" applyFont="1">
      <alignment horizontal="right" vertical="bottom"/>
    </xf>
    <xf borderId="24" fillId="3" fontId="32" numFmtId="10" xfId="0" applyAlignment="1" applyBorder="1" applyFont="1" applyNumberFormat="1">
      <alignment horizontal="center" vertical="bottom"/>
    </xf>
    <xf borderId="24" fillId="3" fontId="33" numFmtId="0" xfId="0" applyAlignment="1" applyBorder="1" applyFont="1">
      <alignment horizontal="center" vertical="bottom"/>
    </xf>
    <xf borderId="25" fillId="3" fontId="33" numFmtId="0" xfId="0" applyAlignment="1" applyBorder="1" applyFont="1">
      <alignment horizontal="center" vertical="bottom"/>
    </xf>
    <xf borderId="0" fillId="7" fontId="31" numFmtId="0" xfId="0" applyFont="1"/>
    <xf borderId="0" fillId="7" fontId="31" numFmtId="0" xfId="0" applyAlignment="1" applyFont="1">
      <alignment horizontal="center" vertical="center"/>
    </xf>
    <xf borderId="0" fillId="7" fontId="31" numFmtId="0" xfId="0" applyAlignment="1" applyFont="1">
      <alignment horizontal="center"/>
    </xf>
    <xf borderId="0" fillId="7" fontId="31" numFmtId="164" xfId="0" applyAlignment="1" applyFont="1" applyNumberFormat="1">
      <alignment horizontal="center"/>
    </xf>
    <xf borderId="18" fillId="7" fontId="32" numFmtId="0" xfId="0" applyAlignment="1" applyBorder="1" applyFont="1">
      <alignment horizontal="right" vertical="bottom"/>
    </xf>
    <xf borderId="0" fillId="7" fontId="32" numFmtId="10" xfId="0" applyAlignment="1" applyFont="1" applyNumberFormat="1">
      <alignment horizontal="center" vertical="bottom"/>
    </xf>
    <xf borderId="23" fillId="7" fontId="32" numFmtId="0" xfId="0" applyAlignment="1" applyBorder="1" applyFont="1">
      <alignment horizontal="right" vertical="bottom"/>
    </xf>
    <xf borderId="24" fillId="7" fontId="32" numFmtId="10" xfId="0" applyAlignment="1" applyBorder="1" applyFont="1" applyNumberFormat="1">
      <alignment horizontal="center" vertical="bottom"/>
    </xf>
    <xf borderId="24" fillId="7" fontId="32" numFmtId="0" xfId="0" applyAlignment="1" applyBorder="1" applyFont="1">
      <alignment horizontal="right" vertical="bottom"/>
    </xf>
    <xf borderId="25" fillId="7" fontId="32" numFmtId="10" xfId="0" applyAlignment="1" applyBorder="1" applyFont="1" applyNumberFormat="1">
      <alignment horizontal="center" vertical="bottom"/>
    </xf>
    <xf borderId="18" fillId="5" fontId="31" numFmtId="164" xfId="0" applyBorder="1" applyFont="1" applyNumberFormat="1"/>
    <xf borderId="0" fillId="5" fontId="4" numFmtId="164" xfId="0" applyAlignment="1" applyFont="1" applyNumberFormat="1">
      <alignment horizontal="center" vertical="bottom"/>
    </xf>
    <xf borderId="0" fillId="5" fontId="31" numFmtId="10" xfId="0" applyAlignment="1" applyFont="1" applyNumberFormat="1">
      <alignment horizontal="center"/>
    </xf>
    <xf borderId="19" fillId="5" fontId="4" numFmtId="4" xfId="0" applyAlignment="1" applyBorder="1" applyFont="1" applyNumberFormat="1">
      <alignment horizontal="center" vertical="bottom"/>
    </xf>
    <xf borderId="23" fillId="5" fontId="31" numFmtId="164" xfId="0" applyBorder="1" applyFont="1" applyNumberFormat="1"/>
    <xf borderId="24" fillId="5" fontId="31" numFmtId="164" xfId="0" applyBorder="1" applyFont="1" applyNumberFormat="1"/>
    <xf borderId="24" fillId="5" fontId="31" numFmtId="0" xfId="0" applyBorder="1" applyFont="1"/>
    <xf borderId="25" fillId="5" fontId="31" numFmtId="0" xfId="0" applyBorder="1" applyFont="1"/>
    <xf borderId="18" fillId="0" fontId="3" numFmtId="164" xfId="0" applyBorder="1" applyFont="1" applyNumberFormat="1"/>
    <xf borderId="0" fillId="0" fontId="31" numFmtId="10" xfId="0" applyAlignment="1" applyFont="1" applyNumberFormat="1">
      <alignment horizontal="center"/>
    </xf>
    <xf borderId="23" fillId="0" fontId="30" numFmtId="0" xfId="0" applyBorder="1" applyFont="1"/>
    <xf borderId="24" fillId="0" fontId="30" numFmtId="164" xfId="0" applyBorder="1" applyFont="1" applyNumberFormat="1"/>
    <xf borderId="24" fillId="0" fontId="30" numFmtId="0" xfId="0" applyBorder="1" applyFont="1"/>
    <xf borderId="25" fillId="0" fontId="30" numFmtId="0" xfId="0" applyBorder="1" applyFont="1"/>
    <xf borderId="26" fillId="3" fontId="31" numFmtId="0" xfId="0" applyBorder="1" applyFont="1"/>
    <xf borderId="27" fillId="3" fontId="31" numFmtId="0" xfId="0" applyAlignment="1" applyBorder="1" applyFont="1">
      <alignment horizontal="center" vertical="center"/>
    </xf>
    <xf borderId="27" fillId="3" fontId="31" numFmtId="0" xfId="0" applyAlignment="1" applyBorder="1" applyFont="1">
      <alignment horizontal="center"/>
    </xf>
    <xf borderId="27" fillId="3" fontId="30" numFmtId="164" xfId="0" applyAlignment="1" applyBorder="1" applyFont="1" applyNumberFormat="1">
      <alignment horizontal="center"/>
    </xf>
    <xf borderId="27" fillId="3" fontId="31" numFmtId="164" xfId="0" applyAlignment="1" applyBorder="1" applyFont="1" applyNumberFormat="1">
      <alignment horizontal="center"/>
    </xf>
    <xf borderId="18" fillId="3" fontId="31" numFmtId="0" xfId="0" applyBorder="1" applyFont="1"/>
    <xf borderId="0" fillId="3" fontId="31" numFmtId="10" xfId="0" applyFont="1" applyNumberFormat="1"/>
    <xf borderId="0" fillId="3" fontId="31" numFmtId="10" xfId="0" applyAlignment="1" applyFont="1" applyNumberFormat="1">
      <alignment horizontal="center"/>
    </xf>
    <xf borderId="19" fillId="3" fontId="31" numFmtId="0" xfId="0" applyBorder="1" applyFont="1"/>
    <xf borderId="23" fillId="3" fontId="31" numFmtId="0" xfId="0" applyBorder="1" applyFont="1"/>
    <xf borderId="24" fillId="3" fontId="31" numFmtId="0" xfId="0" applyBorder="1" applyFont="1"/>
    <xf borderId="25" fillId="3" fontId="31" numFmtId="0" xfId="0" applyBorder="1" applyFont="1"/>
    <xf borderId="18" fillId="0" fontId="31" numFmtId="0" xfId="0" applyBorder="1" applyFont="1"/>
    <xf borderId="0" fillId="0" fontId="31" numFmtId="10" xfId="0" applyFont="1" applyNumberFormat="1"/>
    <xf borderId="19" fillId="0" fontId="31" numFmtId="0" xfId="0" applyBorder="1" applyFont="1"/>
    <xf borderId="23" fillId="0" fontId="31" numFmtId="0" xfId="0" applyBorder="1" applyFont="1"/>
    <xf borderId="0" fillId="4" fontId="31" numFmtId="0" xfId="0" applyFont="1"/>
    <xf borderId="0" fillId="4" fontId="31" numFmtId="0" xfId="0" applyAlignment="1" applyFont="1">
      <alignment horizontal="center"/>
    </xf>
    <xf borderId="0" fillId="4" fontId="31" numFmtId="164" xfId="0" applyAlignment="1" applyFont="1" applyNumberFormat="1">
      <alignment horizontal="center"/>
    </xf>
    <xf borderId="18" fillId="4" fontId="31" numFmtId="0" xfId="0" applyBorder="1" applyFont="1"/>
    <xf borderId="0" fillId="4" fontId="31" numFmtId="10" xfId="0" applyFont="1" applyNumberFormat="1"/>
    <xf borderId="0" fillId="4" fontId="31" numFmtId="10" xfId="0" applyAlignment="1" applyFont="1" applyNumberFormat="1">
      <alignment horizontal="center"/>
    </xf>
    <xf borderId="19" fillId="4" fontId="31" numFmtId="0" xfId="0" applyBorder="1" applyFont="1"/>
    <xf borderId="28" fillId="4" fontId="31" numFmtId="0" xfId="0" applyBorder="1" applyFont="1"/>
    <xf borderId="29" fillId="4" fontId="31" numFmtId="0" xfId="0" applyBorder="1" applyFont="1"/>
    <xf borderId="30" fillId="4" fontId="31" numFmtId="0" xfId="0" applyBorder="1" applyFont="1"/>
    <xf borderId="31" fillId="3" fontId="31" numFmtId="0" xfId="0" applyBorder="1" applyFont="1"/>
    <xf borderId="32" fillId="3" fontId="31" numFmtId="10" xfId="0" applyBorder="1" applyFont="1" applyNumberFormat="1"/>
    <xf borderId="32" fillId="3" fontId="31" numFmtId="10" xfId="0" applyAlignment="1" applyBorder="1" applyFont="1" applyNumberFormat="1">
      <alignment horizontal="center"/>
    </xf>
    <xf borderId="33" fillId="3" fontId="31" numFmtId="0" xfId="0" applyBorder="1" applyFont="1"/>
    <xf borderId="34" fillId="3" fontId="31" numFmtId="0" xfId="0" applyBorder="1" applyFont="1"/>
    <xf borderId="35" fillId="3" fontId="31" numFmtId="0" xfId="0" applyBorder="1" applyFont="1"/>
    <xf borderId="0" fillId="0" fontId="31" numFmtId="164" xfId="0" applyFont="1" applyNumberFormat="1"/>
    <xf borderId="0" fillId="0" fontId="9" numFmtId="164" xfId="0" applyFont="1" applyNumberFormat="1"/>
    <xf borderId="0" fillId="0" fontId="9" numFmtId="4" xfId="0" applyFont="1" applyNumberFormat="1"/>
    <xf borderId="36" fillId="0" fontId="24" numFmtId="0" xfId="0" applyAlignment="1" applyBorder="1" applyFont="1">
      <alignment horizontal="center" shrinkToFit="0" vertical="center" wrapText="1"/>
    </xf>
    <xf borderId="37" fillId="0" fontId="12" numFmtId="0" xfId="0" applyBorder="1" applyFont="1"/>
    <xf borderId="38" fillId="0" fontId="12" numFmtId="0" xfId="0" applyBorder="1" applyFont="1"/>
    <xf borderId="39" fillId="2" fontId="29" numFmtId="0" xfId="0" applyAlignment="1" applyBorder="1" applyFont="1">
      <alignment horizontal="center" shrinkToFit="0" vertical="center" wrapText="1"/>
    </xf>
    <xf borderId="40" fillId="0" fontId="12" numFmtId="0" xfId="0" applyBorder="1" applyFont="1"/>
    <xf borderId="41" fillId="0" fontId="12" numFmtId="0" xfId="0" applyBorder="1" applyFont="1"/>
    <xf borderId="42" fillId="2" fontId="29" numFmtId="0" xfId="0" applyAlignment="1" applyBorder="1" applyFont="1">
      <alignment horizontal="center" shrinkToFit="0" vertical="center" wrapText="1"/>
    </xf>
    <xf borderId="0" fillId="4" fontId="9" numFmtId="0" xfId="0" applyFont="1"/>
    <xf borderId="12" fillId="2" fontId="29" numFmtId="0" xfId="0" applyAlignment="1" applyBorder="1" applyFont="1">
      <alignment horizontal="center" shrinkToFit="0" vertical="center" wrapText="1"/>
    </xf>
    <xf borderId="11" fillId="2" fontId="2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43" fillId="5" fontId="28" numFmtId="0" xfId="0" applyAlignment="1" applyBorder="1" applyFont="1">
      <alignment horizontal="center" shrinkToFit="0" vertical="center" wrapText="1"/>
    </xf>
    <xf borderId="44" fillId="5" fontId="30" numFmtId="0" xfId="0" applyAlignment="1" applyBorder="1" applyFont="1">
      <alignment horizontal="center" shrinkToFit="0" vertical="center" wrapText="1"/>
    </xf>
    <xf borderId="45" fillId="5" fontId="30" numFmtId="10" xfId="0" applyAlignment="1" applyBorder="1" applyFont="1" applyNumberFormat="1">
      <alignment horizontal="center" shrinkToFit="0" vertical="center" wrapText="1"/>
    </xf>
    <xf borderId="46" fillId="5" fontId="30" numFmtId="0" xfId="0" applyAlignment="1" applyBorder="1" applyFont="1">
      <alignment horizontal="center" shrinkToFit="0" vertical="center" wrapText="1"/>
    </xf>
    <xf borderId="47" fillId="5" fontId="30" numFmtId="0" xfId="0" applyAlignment="1" applyBorder="1" applyFont="1">
      <alignment horizontal="center" shrinkToFit="0" vertical="center" wrapText="1"/>
    </xf>
    <xf borderId="13" fillId="5" fontId="30" numFmtId="0" xfId="0" applyAlignment="1" applyBorder="1" applyFont="1">
      <alignment horizontal="center" shrinkToFit="0" vertical="center" wrapText="1"/>
    </xf>
    <xf borderId="17" fillId="5" fontId="30" numFmtId="0" xfId="0" applyAlignment="1" applyBorder="1" applyFont="1">
      <alignment horizontal="center" shrinkToFit="0" vertical="center" wrapText="1"/>
    </xf>
    <xf borderId="43" fillId="0" fontId="9" numFmtId="0" xfId="0" applyBorder="1" applyFont="1"/>
    <xf borderId="17" fillId="0" fontId="9" numFmtId="0" xfId="0" applyAlignment="1" applyBorder="1" applyFont="1">
      <alignment horizontal="center" vertical="center"/>
    </xf>
    <xf borderId="17" fillId="0" fontId="9" numFmtId="0" xfId="0" applyBorder="1" applyFont="1"/>
    <xf borderId="17" fillId="0" fontId="9" numFmtId="164" xfId="0" applyBorder="1" applyFont="1" applyNumberFormat="1"/>
    <xf borderId="17" fillId="0" fontId="9" numFmtId="49" xfId="0" applyAlignment="1" applyBorder="1" applyFont="1" applyNumberFormat="1">
      <alignment horizontal="right"/>
    </xf>
    <xf borderId="11" fillId="0" fontId="9" numFmtId="164" xfId="0" applyBorder="1" applyFont="1" applyNumberFormat="1"/>
    <xf borderId="43" fillId="4" fontId="4" numFmtId="164" xfId="0" applyAlignment="1" applyBorder="1" applyFont="1" applyNumberFormat="1">
      <alignment horizontal="right" vertical="bottom"/>
    </xf>
    <xf borderId="17" fillId="4" fontId="34" numFmtId="10" xfId="0" applyAlignment="1" applyBorder="1" applyFont="1" applyNumberFormat="1">
      <alignment horizontal="center" vertical="bottom"/>
    </xf>
    <xf borderId="11" fillId="4" fontId="4" numFmtId="164" xfId="0" applyAlignment="1" applyBorder="1" applyFont="1" applyNumberFormat="1">
      <alignment horizontal="center" vertical="bottom"/>
    </xf>
    <xf borderId="48" fillId="4" fontId="35" numFmtId="0" xfId="0" applyAlignment="1" applyBorder="1" applyFont="1">
      <alignment horizontal="center" vertical="bottom"/>
    </xf>
    <xf borderId="13" fillId="4" fontId="36" numFmtId="0" xfId="0" applyAlignment="1" applyBorder="1" applyFont="1">
      <alignment horizontal="center" vertical="bottom"/>
    </xf>
    <xf borderId="17" fillId="4" fontId="36" numFmtId="0" xfId="0" applyAlignment="1" applyBorder="1" applyFont="1">
      <alignment horizontal="center" vertical="bottom"/>
    </xf>
    <xf borderId="43" fillId="5" fontId="9" numFmtId="0" xfId="0" applyBorder="1" applyFont="1"/>
    <xf borderId="17" fillId="5" fontId="9" numFmtId="0" xfId="0" applyAlignment="1" applyBorder="1" applyFont="1">
      <alignment horizontal="center" vertical="center"/>
    </xf>
    <xf borderId="17" fillId="5" fontId="9" numFmtId="0" xfId="0" applyBorder="1" applyFont="1"/>
    <xf borderId="17" fillId="5" fontId="9" numFmtId="164" xfId="0" applyBorder="1" applyFont="1" applyNumberFormat="1"/>
    <xf borderId="17" fillId="5" fontId="9" numFmtId="164" xfId="0" applyAlignment="1" applyBorder="1" applyFont="1" applyNumberFormat="1">
      <alignment horizontal="center"/>
    </xf>
    <xf borderId="11" fillId="5" fontId="9" numFmtId="164" xfId="0" applyBorder="1" applyFont="1" applyNumberFormat="1"/>
    <xf borderId="43" fillId="5" fontId="4" numFmtId="0" xfId="0" applyAlignment="1" applyBorder="1" applyFont="1">
      <alignment horizontal="right" vertical="bottom"/>
    </xf>
    <xf borderId="17" fillId="5" fontId="34" numFmtId="10" xfId="0" applyAlignment="1" applyBorder="1" applyFont="1" applyNumberFormat="1">
      <alignment horizontal="center" vertical="bottom"/>
    </xf>
    <xf borderId="11" fillId="5" fontId="4" numFmtId="164" xfId="0" applyAlignment="1" applyBorder="1" applyFont="1" applyNumberFormat="1">
      <alignment horizontal="center" vertical="bottom"/>
    </xf>
    <xf borderId="0" fillId="5" fontId="4" numFmtId="10" xfId="0" applyAlignment="1" applyFont="1" applyNumberFormat="1">
      <alignment horizontal="center" vertical="bottom"/>
    </xf>
    <xf borderId="48" fillId="5" fontId="35" numFmtId="0" xfId="0" applyAlignment="1" applyBorder="1" applyFont="1">
      <alignment horizontal="center" vertical="bottom"/>
    </xf>
    <xf borderId="13" fillId="5" fontId="36" numFmtId="0" xfId="0" applyAlignment="1" applyBorder="1" applyFont="1">
      <alignment horizontal="center" vertical="bottom"/>
    </xf>
    <xf borderId="17" fillId="5" fontId="36" numFmtId="0" xfId="0" applyAlignment="1" applyBorder="1" applyFont="1">
      <alignment horizontal="center" vertical="bottom"/>
    </xf>
    <xf borderId="0" fillId="4" fontId="9" numFmtId="164" xfId="0" applyFont="1" applyNumberFormat="1"/>
    <xf borderId="0" fillId="4" fontId="9" numFmtId="10" xfId="0" applyFont="1" applyNumberFormat="1"/>
    <xf borderId="0" fillId="4" fontId="9" numFmtId="10" xfId="0" applyAlignment="1" applyFont="1" applyNumberFormat="1">
      <alignment horizontal="center"/>
    </xf>
    <xf borderId="17" fillId="4" fontId="9" numFmtId="164" xfId="0" applyBorder="1" applyFont="1" applyNumberFormat="1"/>
    <xf borderId="43" fillId="4" fontId="4" numFmtId="0" xfId="0" applyAlignment="1" applyBorder="1" applyFont="1">
      <alignment horizontal="right" vertical="bottom"/>
    </xf>
    <xf borderId="49" fillId="5" fontId="9" numFmtId="0" xfId="0" applyBorder="1" applyFont="1"/>
    <xf borderId="50" fillId="5" fontId="9" numFmtId="0" xfId="0" applyAlignment="1" applyBorder="1" applyFont="1">
      <alignment horizontal="center" vertical="center"/>
    </xf>
    <xf borderId="50" fillId="5" fontId="9" numFmtId="0" xfId="0" applyBorder="1" applyFont="1"/>
    <xf borderId="50" fillId="5" fontId="9" numFmtId="164" xfId="0" applyBorder="1" applyFont="1" applyNumberFormat="1"/>
    <xf borderId="51" fillId="5" fontId="9" numFmtId="164" xfId="0" applyBorder="1" applyFont="1" applyNumberFormat="1"/>
    <xf borderId="49" fillId="5" fontId="9" numFmtId="164" xfId="0" applyAlignment="1" applyBorder="1" applyFont="1" applyNumberFormat="1">
      <alignment horizontal="right"/>
    </xf>
    <xf borderId="50" fillId="5" fontId="9" numFmtId="0" xfId="0" applyAlignment="1" applyBorder="1" applyFont="1">
      <alignment horizontal="center"/>
    </xf>
    <xf borderId="51" fillId="5" fontId="4" numFmtId="164" xfId="0" applyAlignment="1" applyBorder="1" applyFont="1" applyNumberFormat="1">
      <alignment horizontal="center" vertical="bottom"/>
    </xf>
    <xf borderId="0" fillId="5" fontId="9" numFmtId="10" xfId="0" applyAlignment="1" applyFont="1" applyNumberFormat="1">
      <alignment horizontal="center"/>
    </xf>
    <xf borderId="52" fillId="5" fontId="35" numFmtId="0" xfId="0" applyAlignment="1" applyBorder="1" applyFont="1">
      <alignment horizontal="center" vertical="bottom"/>
    </xf>
    <xf borderId="13" fillId="5" fontId="29" numFmtId="0" xfId="0" applyBorder="1" applyFont="1"/>
    <xf borderId="17" fillId="5" fontId="29" numFmtId="0" xfId="0" applyBorder="1" applyFont="1"/>
    <xf borderId="53" fillId="0" fontId="9" numFmtId="0" xfId="0" applyBorder="1" applyFont="1"/>
    <xf borderId="0" fillId="0" fontId="9" numFmtId="0" xfId="0" applyAlignment="1" applyFont="1">
      <alignment horizontal="center" vertical="center"/>
    </xf>
    <xf borderId="53" fillId="0" fontId="9" numFmtId="164" xfId="0" applyBorder="1" applyFont="1" applyNumberFormat="1"/>
    <xf borderId="54" fillId="4" fontId="35" numFmtId="0" xfId="0" applyAlignment="1" applyBorder="1" applyFont="1">
      <alignment horizontal="center" vertical="bottom"/>
    </xf>
    <xf borderId="13" fillId="0" fontId="9" numFmtId="0" xfId="0" applyBorder="1" applyFont="1"/>
    <xf borderId="0" fillId="5" fontId="9" numFmtId="0" xfId="0" applyFont="1"/>
    <xf borderId="0" fillId="5" fontId="9" numFmtId="0" xfId="0" applyAlignment="1" applyFont="1">
      <alignment horizontal="center" vertical="center"/>
    </xf>
    <xf borderId="0" fillId="5" fontId="9" numFmtId="164" xfId="0" applyFont="1" applyNumberFormat="1"/>
    <xf borderId="53" fillId="5" fontId="9" numFmtId="164" xfId="0" applyBorder="1" applyFont="1" applyNumberFormat="1"/>
    <xf borderId="0" fillId="5" fontId="9" numFmtId="164" xfId="0" applyAlignment="1" applyFont="1" applyNumberFormat="1">
      <alignment horizontal="center"/>
    </xf>
    <xf borderId="54" fillId="5" fontId="9" numFmtId="0" xfId="0" applyAlignment="1" applyBorder="1" applyFont="1">
      <alignment horizontal="center"/>
    </xf>
    <xf borderId="13" fillId="5" fontId="9" numFmtId="0" xfId="0" applyBorder="1" applyFont="1"/>
    <xf borderId="17" fillId="5" fontId="9" numFmtId="0" xfId="0" applyBorder="1" applyFont="1"/>
    <xf borderId="0" fillId="0" fontId="29" numFmtId="0" xfId="0" applyFont="1"/>
    <xf borderId="0" fillId="0" fontId="29" numFmtId="0" xfId="0" applyAlignment="1" applyFont="1">
      <alignment horizontal="center" vertical="center"/>
    </xf>
    <xf borderId="0" fillId="0" fontId="29" numFmtId="164" xfId="0" applyFont="1" applyNumberFormat="1"/>
    <xf borderId="0" fillId="4" fontId="29" numFmtId="0" xfId="0" applyFont="1"/>
    <xf borderId="53" fillId="0" fontId="29" numFmtId="0" xfId="0" applyBorder="1" applyFont="1"/>
    <xf borderId="54" fillId="0" fontId="29" numFmtId="0" xfId="0" applyBorder="1" applyFont="1"/>
    <xf borderId="13" fillId="0" fontId="29" numFmtId="0" xfId="0" applyBorder="1" applyFont="1"/>
    <xf borderId="17" fillId="0" fontId="29" numFmtId="0" xfId="0" applyBorder="1" applyFont="1"/>
    <xf borderId="55" fillId="5" fontId="9" numFmtId="0" xfId="0" applyBorder="1" applyFont="1"/>
    <xf borderId="56" fillId="5" fontId="9" numFmtId="0" xfId="0" applyBorder="1" applyFont="1"/>
    <xf borderId="56" fillId="5" fontId="9" numFmtId="164" xfId="0" applyBorder="1" applyFont="1" applyNumberFormat="1"/>
    <xf borderId="57" fillId="5" fontId="9" numFmtId="0" xfId="0" applyBorder="1" applyFont="1"/>
    <xf borderId="58" fillId="5" fontId="9" numFmtId="0" xfId="0" applyBorder="1" applyFont="1"/>
    <xf borderId="17" fillId="4" fontId="9" numFmtId="0" xfId="0" applyBorder="1" applyFont="1"/>
    <xf borderId="11" fillId="0" fontId="9" numFmtId="0" xfId="0" applyBorder="1" applyFont="1"/>
    <xf borderId="48" fillId="0" fontId="9" numFmtId="0" xfId="0" applyBorder="1" applyFont="1"/>
    <xf borderId="43" fillId="5" fontId="9" numFmtId="0" xfId="0" applyBorder="1" applyFont="1"/>
    <xf borderId="17" fillId="5" fontId="9" numFmtId="164" xfId="0" applyBorder="1" applyFont="1" applyNumberFormat="1"/>
    <xf borderId="11" fillId="5" fontId="9" numFmtId="0" xfId="0" applyBorder="1" applyFont="1"/>
    <xf borderId="48" fillId="5" fontId="9" numFmtId="0" xfId="0" applyBorder="1" applyFont="1"/>
    <xf borderId="49" fillId="0" fontId="9" numFmtId="0" xfId="0" applyBorder="1" applyFont="1"/>
    <xf borderId="50" fillId="0" fontId="9" numFmtId="0" xfId="0" applyBorder="1" applyFont="1"/>
    <xf borderId="51" fillId="0" fontId="9" numFmtId="0" xfId="0" applyBorder="1" applyFont="1"/>
    <xf borderId="52" fillId="0" fontId="9" numFmtId="0" xfId="0" applyBorder="1" applyFont="1"/>
    <xf borderId="59" fillId="5" fontId="9" numFmtId="0" xfId="0" applyBorder="1" applyFont="1"/>
    <xf borderId="60" fillId="5" fontId="9" numFmtId="0" xfId="0" applyBorder="1" applyFont="1"/>
    <xf borderId="60" fillId="5" fontId="9" numFmtId="164" xfId="0" applyBorder="1" applyFont="1" applyNumberFormat="1"/>
    <xf borderId="61" fillId="5" fontId="9" numFmtId="0" xfId="0" applyBorder="1" applyFont="1"/>
    <xf borderId="62" fillId="5" fontId="9" numFmtId="0" xfId="0" applyBorder="1" applyFont="1"/>
    <xf borderId="63" fillId="5" fontId="9" numFmtId="0" xfId="0" applyBorder="1" applyFont="1"/>
    <xf borderId="64" fillId="5" fontId="9" numFmtId="0" xfId="0" applyBorder="1" applyFont="1"/>
    <xf borderId="65" fillId="0" fontId="24" numFmtId="0" xfId="0" applyAlignment="1" applyBorder="1" applyFont="1">
      <alignment horizontal="center" shrinkToFit="0" vertical="center" wrapText="1"/>
    </xf>
    <xf borderId="66" fillId="0" fontId="12" numFmtId="0" xfId="0" applyBorder="1" applyFont="1"/>
    <xf borderId="67" fillId="0" fontId="12" numFmtId="0" xfId="0" applyBorder="1" applyFont="1"/>
    <xf borderId="68" fillId="2" fontId="37" numFmtId="0" xfId="0" applyAlignment="1" applyBorder="1" applyFont="1">
      <alignment horizontal="center" shrinkToFit="0" vertical="center" wrapText="1"/>
    </xf>
    <xf borderId="68" fillId="0" fontId="12" numFmtId="0" xfId="0" applyBorder="1" applyFont="1"/>
    <xf borderId="69" fillId="0" fontId="12" numFmtId="0" xfId="0" applyBorder="1" applyFont="1"/>
    <xf borderId="70" fillId="2" fontId="37" numFmtId="0" xfId="0" applyAlignment="1" applyBorder="1" applyFont="1">
      <alignment horizontal="center" shrinkToFit="0" vertical="center" wrapText="1"/>
    </xf>
    <xf borderId="71" fillId="0" fontId="12" numFmtId="0" xfId="0" applyBorder="1" applyFont="1"/>
    <xf borderId="72" fillId="0" fontId="12" numFmtId="0" xfId="0" applyBorder="1" applyFont="1"/>
    <xf borderId="73" fillId="2" fontId="37" numFmtId="0" xfId="0" applyAlignment="1" applyBorder="1" applyFont="1">
      <alignment horizontal="center" shrinkToFit="0" vertical="center" wrapText="1"/>
    </xf>
    <xf borderId="74" fillId="0" fontId="12" numFmtId="0" xfId="0" applyBorder="1" applyFont="1"/>
    <xf borderId="2" fillId="5" fontId="28" numFmtId="0" xfId="0" applyAlignment="1" applyBorder="1" applyFont="1">
      <alignment horizontal="center" shrinkToFit="0" vertical="center" wrapText="1"/>
    </xf>
    <xf borderId="2" fillId="5" fontId="29" numFmtId="164" xfId="0" applyAlignment="1" applyBorder="1" applyFont="1" applyNumberFormat="1">
      <alignment horizontal="center" shrinkToFit="0" vertical="center" wrapText="1"/>
    </xf>
    <xf borderId="2" fillId="5" fontId="29" numFmtId="0" xfId="0" applyAlignment="1" applyBorder="1" applyFont="1">
      <alignment horizontal="center" shrinkToFit="0" vertical="center" wrapText="1"/>
    </xf>
    <xf borderId="13" fillId="3" fontId="30" numFmtId="0" xfId="0" applyAlignment="1" applyBorder="1" applyFont="1">
      <alignment horizontal="center" shrinkToFit="0" vertical="center" wrapText="1"/>
    </xf>
    <xf borderId="17" fillId="5" fontId="30" numFmtId="10" xfId="0" applyAlignment="1" applyBorder="1" applyFont="1" applyNumberFormat="1">
      <alignment horizontal="center" shrinkToFit="0" vertical="center" wrapText="1"/>
    </xf>
    <xf borderId="11" fillId="5" fontId="30" numFmtId="0" xfId="0" applyAlignment="1" applyBorder="1" applyFont="1">
      <alignment horizontal="center" shrinkToFit="0" vertical="center" wrapText="1"/>
    </xf>
    <xf borderId="12" fillId="5" fontId="30" numFmtId="0" xfId="0" applyAlignment="1" applyBorder="1" applyFont="1">
      <alignment horizontal="center" shrinkToFit="0" vertical="center" wrapText="1"/>
    </xf>
    <xf borderId="75" fillId="5" fontId="30" numFmtId="0" xfId="0" applyAlignment="1" applyBorder="1" applyFont="1">
      <alignment horizontal="center" shrinkToFit="0" vertical="center" wrapText="1"/>
    </xf>
    <xf borderId="76" fillId="5" fontId="30" numFmtId="0" xfId="0" applyAlignment="1" applyBorder="1" applyFont="1">
      <alignment horizontal="center" shrinkToFit="0" vertical="center" wrapText="1"/>
    </xf>
    <xf borderId="77" fillId="5" fontId="30" numFmtId="0" xfId="0" applyAlignment="1" applyBorder="1" applyFont="1">
      <alignment horizontal="center" shrinkToFit="0" vertical="center" wrapText="1"/>
    </xf>
    <xf borderId="78" fillId="5" fontId="30" numFmtId="0" xfId="0" applyAlignment="1" applyBorder="1" applyFont="1">
      <alignment horizontal="center" shrinkToFit="0" vertical="center" wrapText="1"/>
    </xf>
    <xf borderId="2" fillId="0" fontId="9" numFmtId="0" xfId="0" applyBorder="1" applyFont="1"/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/>
    </xf>
    <xf borderId="2" fillId="0" fontId="9" numFmtId="164" xfId="0" applyAlignment="1" applyBorder="1" applyFont="1" applyNumberFormat="1">
      <alignment horizontal="center"/>
    </xf>
    <xf borderId="2" fillId="0" fontId="9" numFmtId="49" xfId="0" applyAlignment="1" applyBorder="1" applyFont="1" applyNumberFormat="1">
      <alignment horizontal="center"/>
    </xf>
    <xf borderId="11" fillId="4" fontId="36" numFmtId="0" xfId="0" applyAlignment="1" applyBorder="1" applyFont="1">
      <alignment horizontal="center" vertical="bottom"/>
    </xf>
    <xf borderId="12" fillId="4" fontId="36" numFmtId="0" xfId="0" applyAlignment="1" applyBorder="1" applyFont="1">
      <alignment horizontal="center" vertical="bottom"/>
    </xf>
    <xf borderId="75" fillId="4" fontId="4" numFmtId="0" xfId="0" applyAlignment="1" applyBorder="1" applyFont="1">
      <alignment horizontal="right" vertical="bottom"/>
    </xf>
    <xf borderId="76" fillId="4" fontId="4" numFmtId="164" xfId="0" applyAlignment="1" applyBorder="1" applyFont="1" applyNumberFormat="1">
      <alignment horizontal="center" vertical="bottom"/>
    </xf>
    <xf borderId="76" fillId="4" fontId="4" numFmtId="10" xfId="0" applyAlignment="1" applyBorder="1" applyFont="1" applyNumberFormat="1">
      <alignment horizontal="center" vertical="bottom"/>
    </xf>
    <xf borderId="77" fillId="4" fontId="35" numFmtId="0" xfId="0" applyAlignment="1" applyBorder="1" applyFont="1">
      <alignment horizontal="center" vertical="bottom"/>
    </xf>
    <xf borderId="78" fillId="4" fontId="36" numFmtId="0" xfId="0" applyAlignment="1" applyBorder="1" applyFont="1">
      <alignment horizontal="center" vertical="bottom"/>
    </xf>
    <xf borderId="2" fillId="5" fontId="9" numFmtId="0" xfId="0" applyBorder="1" applyFont="1"/>
    <xf borderId="2" fillId="5" fontId="9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/>
    </xf>
    <xf borderId="2" fillId="5" fontId="9" numFmtId="164" xfId="0" applyAlignment="1" applyBorder="1" applyFont="1" applyNumberFormat="1">
      <alignment horizontal="center"/>
    </xf>
    <xf borderId="2" fillId="5" fontId="38" numFmtId="164" xfId="0" applyAlignment="1" applyBorder="1" applyFont="1" applyNumberFormat="1">
      <alignment horizontal="center"/>
    </xf>
    <xf borderId="13" fillId="5" fontId="4" numFmtId="164" xfId="0" applyAlignment="1" applyBorder="1" applyFont="1" applyNumberFormat="1">
      <alignment horizontal="right" vertical="bottom"/>
    </xf>
    <xf borderId="17" fillId="5" fontId="34" numFmtId="10" xfId="0" applyAlignment="1" applyBorder="1" applyFont="1" applyNumberFormat="1">
      <alignment horizontal="center" vertical="bottom"/>
    </xf>
    <xf borderId="11" fillId="5" fontId="4" numFmtId="164" xfId="0" applyAlignment="1" applyBorder="1" applyFont="1" applyNumberFormat="1">
      <alignment horizontal="center" vertical="bottom"/>
    </xf>
    <xf borderId="0" fillId="0" fontId="3" numFmtId="10" xfId="0" applyFont="1" applyNumberFormat="1"/>
    <xf borderId="12" fillId="5" fontId="4" numFmtId="4" xfId="0" applyAlignment="1" applyBorder="1" applyFont="1" applyNumberFormat="1">
      <alignment horizontal="center" vertical="bottom"/>
    </xf>
    <xf borderId="75" fillId="5" fontId="4" numFmtId="0" xfId="0" applyAlignment="1" applyBorder="1" applyFont="1">
      <alignment horizontal="right" vertical="bottom"/>
    </xf>
    <xf borderId="76" fillId="5" fontId="4" numFmtId="164" xfId="0" applyAlignment="1" applyBorder="1" applyFont="1" applyNumberFormat="1">
      <alignment horizontal="center" vertical="bottom"/>
    </xf>
    <xf borderId="76" fillId="5" fontId="4" numFmtId="10" xfId="0" applyAlignment="1" applyBorder="1" applyFont="1" applyNumberFormat="1">
      <alignment horizontal="center" vertical="bottom"/>
    </xf>
    <xf borderId="77" fillId="5" fontId="35" numFmtId="0" xfId="0" applyAlignment="1" applyBorder="1" applyFont="1">
      <alignment horizontal="center" vertical="bottom"/>
    </xf>
    <xf borderId="13" fillId="5" fontId="36" numFmtId="0" xfId="0" applyAlignment="1" applyBorder="1" applyFont="1">
      <alignment horizontal="center" vertical="bottom"/>
    </xf>
    <xf borderId="17" fillId="5" fontId="39" numFmtId="10" xfId="0" applyAlignment="1" applyBorder="1" applyFont="1" applyNumberFormat="1">
      <alignment horizontal="center" vertical="bottom"/>
    </xf>
    <xf borderId="78" fillId="5" fontId="36" numFmtId="0" xfId="0" applyAlignment="1" applyBorder="1" applyFont="1">
      <alignment horizontal="center" vertical="bottom"/>
    </xf>
    <xf borderId="78" fillId="4" fontId="36" numFmtId="164" xfId="0" applyAlignment="1" applyBorder="1" applyFont="1" applyNumberFormat="1">
      <alignment horizontal="center" vertical="bottom"/>
    </xf>
    <xf borderId="79" fillId="5" fontId="36" numFmtId="0" xfId="0" applyAlignment="1" applyBorder="1" applyFont="1">
      <alignment horizontal="center" vertical="bottom"/>
    </xf>
    <xf borderId="50" fillId="5" fontId="36" numFmtId="0" xfId="0" applyAlignment="1" applyBorder="1" applyFont="1">
      <alignment horizontal="center" vertical="bottom"/>
    </xf>
    <xf borderId="51" fillId="5" fontId="36" numFmtId="0" xfId="0" applyAlignment="1" applyBorder="1" applyFont="1">
      <alignment horizontal="center" vertical="bottom"/>
    </xf>
    <xf borderId="80" fillId="5" fontId="4" numFmtId="4" xfId="0" applyAlignment="1" applyBorder="1" applyFont="1" applyNumberFormat="1">
      <alignment horizontal="center" vertical="bottom"/>
    </xf>
    <xf borderId="75" fillId="5" fontId="9" numFmtId="164" xfId="0" applyBorder="1" applyFont="1" applyNumberFormat="1"/>
    <xf borderId="76" fillId="5" fontId="9" numFmtId="10" xfId="0" applyAlignment="1" applyBorder="1" applyFont="1" applyNumberFormat="1">
      <alignment horizontal="center"/>
    </xf>
    <xf borderId="17" fillId="5" fontId="36" numFmtId="0" xfId="0" applyAlignment="1" applyBorder="1" applyFont="1">
      <alignment horizontal="center" vertical="bottom"/>
    </xf>
    <xf borderId="2" fillId="4" fontId="9" numFmtId="164" xfId="0" applyAlignment="1" applyBorder="1" applyFont="1" applyNumberFormat="1">
      <alignment horizontal="center"/>
    </xf>
    <xf borderId="0" fillId="5" fontId="4" numFmtId="4" xfId="0" applyAlignment="1" applyFont="1" applyNumberFormat="1">
      <alignment horizontal="center" vertical="bottom"/>
    </xf>
    <xf borderId="75" fillId="0" fontId="9" numFmtId="164" xfId="0" applyBorder="1" applyFont="1" applyNumberFormat="1"/>
    <xf borderId="76" fillId="0" fontId="9" numFmtId="164" xfId="0" applyAlignment="1" applyBorder="1" applyFont="1" applyNumberFormat="1">
      <alignment horizontal="center"/>
    </xf>
    <xf borderId="76" fillId="0" fontId="9" numFmtId="165" xfId="0" applyAlignment="1" applyBorder="1" applyFont="1" applyNumberFormat="1">
      <alignment horizontal="center"/>
    </xf>
    <xf borderId="78" fillId="0" fontId="9" numFmtId="164" xfId="0" applyBorder="1" applyFont="1" applyNumberFormat="1"/>
    <xf borderId="2" fillId="3" fontId="9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/>
    </xf>
    <xf borderId="2" fillId="3" fontId="9" numFmtId="164" xfId="0" applyAlignment="1" applyBorder="1" applyFont="1" applyNumberFormat="1">
      <alignment horizontal="center"/>
    </xf>
    <xf borderId="81" fillId="5" fontId="9" numFmtId="0" xfId="0" applyBorder="1" applyFont="1"/>
    <xf borderId="82" fillId="5" fontId="9" numFmtId="0" xfId="0" applyBorder="1" applyFont="1"/>
    <xf borderId="83" fillId="5" fontId="4" numFmtId="164" xfId="0" applyAlignment="1" applyBorder="1" applyFont="1" applyNumberFormat="1">
      <alignment horizontal="center" vertical="bottom"/>
    </xf>
    <xf borderId="83" fillId="5" fontId="9" numFmtId="0" xfId="0" applyBorder="1" applyFont="1"/>
    <xf borderId="27" fillId="5" fontId="4" numFmtId="4" xfId="0" applyAlignment="1" applyBorder="1" applyFont="1" applyNumberFormat="1">
      <alignment horizontal="center" vertical="bottom"/>
    </xf>
    <xf borderId="76" fillId="5" fontId="9" numFmtId="164" xfId="0" applyBorder="1" applyFont="1" applyNumberFormat="1"/>
    <xf borderId="78" fillId="5" fontId="9" numFmtId="164" xfId="0" applyBorder="1" applyFont="1" applyNumberFormat="1"/>
    <xf borderId="2" fillId="0" fontId="29" numFmtId="0" xfId="0" applyBorder="1" applyFont="1"/>
    <xf borderId="2" fillId="0" fontId="29" numFmtId="0" xfId="0" applyAlignment="1" applyBorder="1" applyFont="1">
      <alignment horizontal="center" vertical="center"/>
    </xf>
    <xf borderId="2" fillId="0" fontId="29" numFmtId="0" xfId="0" applyAlignment="1" applyBorder="1" applyFont="1">
      <alignment horizontal="center"/>
    </xf>
    <xf borderId="2" fillId="0" fontId="29" numFmtId="164" xfId="0" applyAlignment="1" applyBorder="1" applyFont="1" applyNumberFormat="1">
      <alignment horizontal="center"/>
    </xf>
    <xf borderId="2" fillId="4" fontId="29" numFmtId="164" xfId="0" applyAlignment="1" applyBorder="1" applyFont="1" applyNumberFormat="1">
      <alignment horizontal="center"/>
    </xf>
    <xf borderId="84" fillId="4" fontId="29" numFmtId="0" xfId="0" applyBorder="1" applyFont="1"/>
    <xf borderId="56" fillId="4" fontId="29" numFmtId="0" xfId="0" applyBorder="1" applyFont="1"/>
    <xf borderId="57" fillId="4" fontId="40" numFmtId="164" xfId="0" applyAlignment="1" applyBorder="1" applyFont="1" applyNumberFormat="1">
      <alignment horizontal="center" vertical="bottom"/>
    </xf>
    <xf borderId="57" fillId="4" fontId="29" numFmtId="0" xfId="0" applyBorder="1" applyFont="1"/>
    <xf borderId="85" fillId="4" fontId="40" numFmtId="4" xfId="0" applyAlignment="1" applyBorder="1" applyFont="1" applyNumberFormat="1">
      <alignment horizontal="center" vertical="bottom"/>
    </xf>
    <xf borderId="75" fillId="0" fontId="29" numFmtId="164" xfId="0" applyAlignment="1" applyBorder="1" applyFont="1" applyNumberFormat="1">
      <alignment horizontal="center"/>
    </xf>
    <xf borderId="76" fillId="0" fontId="29" numFmtId="164" xfId="0" applyAlignment="1" applyBorder="1" applyFont="1" applyNumberFormat="1">
      <alignment horizontal="center"/>
    </xf>
    <xf borderId="76" fillId="0" fontId="29" numFmtId="10" xfId="0" applyAlignment="1" applyBorder="1" applyFont="1" applyNumberFormat="1">
      <alignment horizontal="center"/>
    </xf>
    <xf borderId="77" fillId="0" fontId="29" numFmtId="0" xfId="0" applyAlignment="1" applyBorder="1" applyFont="1">
      <alignment horizontal="center"/>
    </xf>
    <xf borderId="2" fillId="4" fontId="9" numFmtId="0" xfId="0" applyAlignment="1" applyBorder="1" applyFont="1">
      <alignment horizontal="center"/>
    </xf>
    <xf borderId="13" fillId="4" fontId="9" numFmtId="0" xfId="0" applyBorder="1" applyFont="1"/>
    <xf borderId="11" fillId="4" fontId="9" numFmtId="0" xfId="0" applyBorder="1" applyFont="1"/>
    <xf borderId="12" fillId="4" fontId="4" numFmtId="4" xfId="0" applyAlignment="1" applyBorder="1" applyFont="1" applyNumberFormat="1">
      <alignment horizontal="center" vertical="bottom"/>
    </xf>
    <xf borderId="75" fillId="0" fontId="9" numFmtId="0" xfId="0" applyBorder="1" applyFont="1"/>
    <xf borderId="76" fillId="0" fontId="9" numFmtId="0" xfId="0" applyBorder="1" applyFont="1"/>
    <xf borderId="77" fillId="0" fontId="9" numFmtId="0" xfId="0" applyBorder="1" applyFont="1"/>
    <xf borderId="86" fillId="4" fontId="9" numFmtId="0" xfId="0" applyBorder="1" applyFont="1"/>
    <xf borderId="87" fillId="4" fontId="9" numFmtId="0" xfId="0" applyBorder="1" applyFont="1"/>
    <xf borderId="88" fillId="4" fontId="4" numFmtId="164" xfId="0" applyAlignment="1" applyBorder="1" applyFont="1" applyNumberFormat="1">
      <alignment horizontal="center" vertical="bottom"/>
    </xf>
    <xf borderId="88" fillId="4" fontId="9" numFmtId="0" xfId="0" applyBorder="1" applyFont="1"/>
    <xf borderId="89" fillId="4" fontId="4" numFmtId="4" xfId="0" applyAlignment="1" applyBorder="1" applyFont="1" applyNumberFormat="1">
      <alignment horizontal="center" vertical="bottom"/>
    </xf>
    <xf borderId="90" fillId="0" fontId="9" numFmtId="0" xfId="0" applyBorder="1" applyFont="1"/>
    <xf borderId="91" fillId="0" fontId="9" numFmtId="0" xfId="0" applyBorder="1" applyFont="1"/>
    <xf borderId="92" fillId="0" fontId="9" numFmtId="0" xfId="0" applyBorder="1" applyFont="1"/>
    <xf borderId="86" fillId="0" fontId="9" numFmtId="0" xfId="0" applyBorder="1" applyFont="1"/>
    <xf borderId="87" fillId="0" fontId="9" numFmtId="0" xfId="0" applyBorder="1" applyFont="1"/>
    <xf borderId="93" fillId="0" fontId="9" numFmtId="164" xfId="0" applyBorder="1" applyFont="1" applyNumberFormat="1"/>
    <xf borderId="0" fillId="0" fontId="9" numFmtId="9" xfId="0" applyFont="1" applyNumberFormat="1"/>
    <xf borderId="24" fillId="4" fontId="28" numFmtId="0" xfId="0" applyAlignment="1" applyBorder="1" applyFont="1">
      <alignment horizontal="center" shrinkToFit="0" vertical="center" wrapText="1"/>
    </xf>
    <xf borderId="94" fillId="4" fontId="41" numFmtId="0" xfId="0" applyAlignment="1" applyBorder="1" applyFont="1">
      <alignment horizontal="center" shrinkToFit="0" vertical="center" wrapText="1"/>
    </xf>
    <xf borderId="95" fillId="0" fontId="12" numFmtId="0" xfId="0" applyBorder="1" applyFont="1"/>
    <xf borderId="23" fillId="0" fontId="12" numFmtId="0" xfId="0" applyBorder="1" applyFont="1"/>
    <xf borderId="24" fillId="4" fontId="29" numFmtId="164" xfId="0" applyAlignment="1" applyBorder="1" applyFont="1" applyNumberFormat="1">
      <alignment horizontal="center" shrinkToFit="0" vertical="center" wrapText="1"/>
    </xf>
    <xf borderId="94" fillId="4" fontId="29" numFmtId="0" xfId="0" applyAlignment="1" applyBorder="1" applyFont="1">
      <alignment horizontal="center" shrinkToFit="0" vertical="center" wrapText="1"/>
    </xf>
    <xf borderId="39" fillId="2" fontId="30" numFmtId="0" xfId="0" applyAlignment="1" applyBorder="1" applyFont="1">
      <alignment horizontal="center" shrinkToFit="0" vertical="center" wrapText="1"/>
    </xf>
    <xf borderId="42" fillId="0" fontId="12" numFmtId="0" xfId="0" applyBorder="1" applyFont="1"/>
    <xf borderId="40" fillId="2" fontId="30" numFmtId="0" xfId="0" applyAlignment="1" applyBorder="1" applyFont="1">
      <alignment horizontal="center" shrinkToFit="0" vertical="center" wrapText="1"/>
    </xf>
    <xf borderId="24" fillId="5" fontId="28" numFmtId="0" xfId="0" applyAlignment="1" applyBorder="1" applyFont="1">
      <alignment horizontal="center" shrinkToFit="0" vertical="center" wrapText="1"/>
    </xf>
    <xf borderId="24" fillId="5" fontId="29" numFmtId="164" xfId="0" applyAlignment="1" applyBorder="1" applyFont="1" applyNumberFormat="1">
      <alignment horizontal="center" shrinkToFit="0" vertical="center" wrapText="1"/>
    </xf>
    <xf borderId="94" fillId="5" fontId="29" numFmtId="0" xfId="0" applyAlignment="1" applyBorder="1" applyFont="1">
      <alignment horizontal="center" shrinkToFit="0" vertical="center" wrapText="1"/>
    </xf>
    <xf borderId="53" fillId="5" fontId="30" numFmtId="0" xfId="0" applyAlignment="1" applyBorder="1" applyFont="1">
      <alignment horizontal="center" shrinkToFit="0" vertical="center" wrapText="1"/>
    </xf>
    <xf borderId="0" fillId="5" fontId="30" numFmtId="10" xfId="0" applyAlignment="1" applyFont="1" applyNumberFormat="1">
      <alignment horizontal="center" shrinkToFit="0" vertical="center" wrapText="1"/>
    </xf>
    <xf borderId="0" fillId="5" fontId="30" numFmtId="9" xfId="0" applyAlignment="1" applyFont="1" applyNumberFormat="1">
      <alignment horizontal="center" shrinkToFit="0" vertical="center" wrapText="1"/>
    </xf>
    <xf borderId="54" fillId="5" fontId="30" numFmtId="0" xfId="0" applyAlignment="1" applyBorder="1" applyFont="1">
      <alignment horizontal="center" shrinkToFit="0" vertical="center" wrapText="1"/>
    </xf>
    <xf borderId="53" fillId="0" fontId="31" numFmtId="0" xfId="0" applyAlignment="1" applyBorder="1" applyFont="1">
      <alignment horizontal="center"/>
    </xf>
    <xf borderId="0" fillId="0" fontId="31" numFmtId="4" xfId="0" applyAlignment="1" applyFont="1" applyNumberFormat="1">
      <alignment horizontal="center"/>
    </xf>
    <xf borderId="54" fillId="0" fontId="31" numFmtId="0" xfId="0" applyAlignment="1" applyBorder="1" applyFont="1">
      <alignment horizontal="center"/>
    </xf>
    <xf borderId="0" fillId="5" fontId="31" numFmtId="0" xfId="0" applyFont="1"/>
    <xf borderId="0" fillId="5" fontId="31" numFmtId="0" xfId="0" applyAlignment="1" applyFont="1">
      <alignment horizontal="center" vertical="center"/>
    </xf>
    <xf borderId="0" fillId="5" fontId="31" numFmtId="164" xfId="0" applyAlignment="1" applyFont="1" applyNumberFormat="1">
      <alignment horizontal="center"/>
    </xf>
    <xf borderId="0" fillId="5" fontId="31" numFmtId="0" xfId="0" applyAlignment="1" applyFont="1">
      <alignment horizontal="center"/>
    </xf>
    <xf borderId="53" fillId="5" fontId="31" numFmtId="0" xfId="0" applyAlignment="1" applyBorder="1" applyFont="1">
      <alignment horizontal="center"/>
    </xf>
    <xf borderId="0" fillId="5" fontId="31" numFmtId="4" xfId="0" applyAlignment="1" applyFont="1" applyNumberFormat="1">
      <alignment horizontal="center"/>
    </xf>
    <xf borderId="54" fillId="5" fontId="31" numFmtId="0" xfId="0" applyAlignment="1" applyBorder="1" applyFont="1">
      <alignment horizontal="center"/>
    </xf>
    <xf borderId="53" fillId="4" fontId="32" numFmtId="0" xfId="0" applyAlignment="1" applyBorder="1" applyFont="1">
      <alignment horizontal="right" vertical="bottom"/>
    </xf>
    <xf borderId="0" fillId="4" fontId="42" numFmtId="10" xfId="0" applyAlignment="1" applyFont="1" applyNumberFormat="1">
      <alignment horizontal="center" vertical="bottom"/>
    </xf>
    <xf borderId="0" fillId="4" fontId="32" numFmtId="10" xfId="0" applyAlignment="1" applyFont="1" applyNumberFormat="1">
      <alignment horizontal="center" vertical="bottom"/>
    </xf>
    <xf borderId="0" fillId="4" fontId="33" numFmtId="4" xfId="0" applyAlignment="1" applyFont="1" applyNumberFormat="1">
      <alignment horizontal="center" vertical="bottom"/>
    </xf>
    <xf borderId="53" fillId="4" fontId="33" numFmtId="0" xfId="0" applyAlignment="1" applyBorder="1" applyFont="1">
      <alignment horizontal="center" vertical="bottom"/>
    </xf>
    <xf borderId="0" fillId="4" fontId="33" numFmtId="0" xfId="0" applyAlignment="1" applyFont="1">
      <alignment horizontal="center" vertical="bottom"/>
    </xf>
    <xf borderId="54" fillId="4" fontId="33" numFmtId="0" xfId="0" applyAlignment="1" applyBorder="1" applyFont="1">
      <alignment horizontal="center" vertical="bottom"/>
    </xf>
    <xf borderId="53" fillId="5" fontId="31" numFmtId="164" xfId="0" applyBorder="1" applyFont="1" applyNumberFormat="1"/>
    <xf borderId="0" fillId="5" fontId="31" numFmtId="10" xfId="0" applyFont="1" applyNumberFormat="1"/>
    <xf borderId="0" fillId="5" fontId="31" numFmtId="164" xfId="0" applyFont="1" applyNumberFormat="1"/>
    <xf borderId="0" fillId="5" fontId="30" numFmtId="4" xfId="0" applyFont="1" applyNumberFormat="1"/>
    <xf borderId="53" fillId="5" fontId="30" numFmtId="0" xfId="0" applyBorder="1" applyFont="1"/>
    <xf borderId="0" fillId="5" fontId="30" numFmtId="0" xfId="0" applyFont="1"/>
    <xf borderId="54" fillId="5" fontId="30" numFmtId="0" xfId="0" applyBorder="1" applyFont="1"/>
    <xf borderId="53" fillId="0" fontId="31" numFmtId="164" xfId="0" applyBorder="1" applyFont="1" applyNumberFormat="1"/>
    <xf borderId="53" fillId="0" fontId="31" numFmtId="164" xfId="0" applyAlignment="1" applyBorder="1" applyFont="1" applyNumberFormat="1">
      <alignment horizontal="center"/>
    </xf>
    <xf borderId="54" fillId="0" fontId="31" numFmtId="4" xfId="0" applyBorder="1" applyFont="1" applyNumberFormat="1"/>
    <xf borderId="54" fillId="0" fontId="31" numFmtId="0" xfId="0" applyBorder="1" applyFont="1"/>
    <xf borderId="53" fillId="5" fontId="31" numFmtId="164" xfId="0" applyAlignment="1" applyBorder="1" applyFont="1" applyNumberFormat="1">
      <alignment horizontal="center"/>
    </xf>
    <xf borderId="54" fillId="5" fontId="31" numFmtId="4" xfId="0" applyAlignment="1" applyBorder="1" applyFont="1" applyNumberFormat="1">
      <alignment horizontal="center"/>
    </xf>
    <xf borderId="0" fillId="0" fontId="30" numFmtId="0" xfId="0" applyFont="1"/>
    <xf borderId="0" fillId="0" fontId="30" numFmtId="0" xfId="0" applyAlignment="1" applyFont="1">
      <alignment horizontal="center" vertical="center"/>
    </xf>
    <xf borderId="0" fillId="0" fontId="30" numFmtId="164" xfId="0" applyAlignment="1" applyFont="1" applyNumberFormat="1">
      <alignment horizontal="center"/>
    </xf>
    <xf borderId="53" fillId="0" fontId="30" numFmtId="164" xfId="0" applyBorder="1" applyFont="1" applyNumberFormat="1"/>
    <xf borderId="0" fillId="0" fontId="30" numFmtId="164" xfId="0" applyFont="1" applyNumberFormat="1"/>
    <xf borderId="0" fillId="0" fontId="30" numFmtId="10" xfId="0" applyFont="1" applyNumberFormat="1"/>
    <xf borderId="0" fillId="0" fontId="30" numFmtId="4" xfId="0" applyAlignment="1" applyFont="1" applyNumberFormat="1">
      <alignment horizontal="center"/>
    </xf>
    <xf borderId="54" fillId="0" fontId="30" numFmtId="0" xfId="0" applyBorder="1" applyFont="1"/>
    <xf borderId="62" fillId="0" fontId="31" numFmtId="0" xfId="0" applyBorder="1" applyFont="1"/>
    <xf borderId="63" fillId="0" fontId="31" numFmtId="10" xfId="0" applyBorder="1" applyFont="1" applyNumberFormat="1"/>
    <xf borderId="63" fillId="0" fontId="31" numFmtId="9" xfId="0" applyBorder="1" applyFont="1" applyNumberFormat="1"/>
    <xf borderId="63" fillId="0" fontId="31" numFmtId="0" xfId="0" applyBorder="1" applyFont="1"/>
    <xf borderId="64" fillId="0" fontId="31" numFmtId="0" xfId="0" applyBorder="1" applyFont="1"/>
    <xf borderId="0" fillId="0" fontId="3" numFmtId="9" xfId="0" applyFont="1" applyNumberFormat="1"/>
    <xf borderId="11" fillId="0" fontId="24" numFmtId="0" xfId="0" applyAlignment="1" applyBorder="1" applyFont="1">
      <alignment horizontal="center" shrinkToFit="0" vertical="center" wrapText="1"/>
    </xf>
    <xf borderId="11" fillId="2" fontId="37" numFmtId="0" xfId="0" applyAlignment="1" applyBorder="1" applyFont="1">
      <alignment horizontal="center" shrinkToFit="0" vertical="center" wrapText="1"/>
    </xf>
    <xf borderId="36" fillId="2" fontId="37" numFmtId="0" xfId="0" applyAlignment="1" applyBorder="1" applyFont="1">
      <alignment horizontal="center" shrinkToFit="0" vertical="center" wrapText="1"/>
    </xf>
    <xf borderId="17" fillId="5" fontId="29" numFmtId="0" xfId="0" applyAlignment="1" applyBorder="1" applyFont="1">
      <alignment horizontal="center" shrinkToFit="0" vertical="center" wrapText="1"/>
    </xf>
    <xf borderId="17" fillId="3" fontId="30" numFmtId="0" xfId="0" applyAlignment="1" applyBorder="1" applyFont="1">
      <alignment horizontal="center" shrinkToFit="0" vertical="center" wrapText="1"/>
    </xf>
    <xf borderId="96" fillId="5" fontId="30" numFmtId="0" xfId="0" applyAlignment="1" applyBorder="1" applyFont="1">
      <alignment horizontal="center" shrinkToFit="0" vertical="center" wrapText="1"/>
    </xf>
    <xf borderId="97" fillId="5" fontId="30" numFmtId="0" xfId="0" applyAlignment="1" applyBorder="1" applyFont="1">
      <alignment horizontal="center" shrinkToFit="0" vertical="center" wrapText="1"/>
    </xf>
    <xf borderId="98" fillId="5" fontId="30" numFmtId="0" xfId="0" applyAlignment="1" applyBorder="1" applyFont="1">
      <alignment horizontal="center" shrinkToFit="0" vertical="center" wrapText="1"/>
    </xf>
    <xf borderId="99" fillId="5" fontId="30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/>
    </xf>
    <xf borderId="17" fillId="0" fontId="9" numFmtId="164" xfId="0" applyAlignment="1" applyBorder="1" applyFont="1" applyNumberFormat="1">
      <alignment horizontal="center"/>
    </xf>
    <xf borderId="17" fillId="0" fontId="9" numFmtId="49" xfId="0" applyAlignment="1" applyBorder="1" applyFont="1" applyNumberFormat="1">
      <alignment horizontal="center"/>
    </xf>
    <xf borderId="100" fillId="4" fontId="4" numFmtId="0" xfId="0" applyAlignment="1" applyBorder="1" applyFont="1">
      <alignment horizontal="right" vertical="bottom"/>
    </xf>
    <xf borderId="24" fillId="4" fontId="34" numFmtId="10" xfId="0" applyAlignment="1" applyBorder="1" applyFont="1" applyNumberFormat="1">
      <alignment horizontal="center" vertical="bottom"/>
    </xf>
    <xf borderId="24" fillId="4" fontId="4" numFmtId="10" xfId="0" applyAlignment="1" applyBorder="1" applyFont="1" applyNumberFormat="1">
      <alignment horizontal="center" vertical="bottom"/>
    </xf>
    <xf borderId="101" fillId="0" fontId="3" numFmtId="0" xfId="0" applyAlignment="1" applyBorder="1" applyFont="1">
      <alignment horizontal="center"/>
    </xf>
    <xf borderId="17" fillId="5" fontId="9" numFmtId="0" xfId="0" applyAlignment="1" applyBorder="1" applyFont="1">
      <alignment horizontal="center" vertical="center"/>
    </xf>
    <xf borderId="17" fillId="5" fontId="9" numFmtId="0" xfId="0" applyAlignment="1" applyBorder="1" applyFont="1">
      <alignment horizontal="center"/>
    </xf>
    <xf borderId="17" fillId="5" fontId="9" numFmtId="164" xfId="0" applyAlignment="1" applyBorder="1" applyFont="1" applyNumberFormat="1">
      <alignment horizontal="center"/>
    </xf>
    <xf borderId="17" fillId="5" fontId="38" numFmtId="164" xfId="0" applyAlignment="1" applyBorder="1" applyFont="1" applyNumberFormat="1">
      <alignment horizontal="center"/>
    </xf>
    <xf borderId="17" fillId="5" fontId="4" numFmtId="0" xfId="0" applyAlignment="1" applyBorder="1" applyFont="1">
      <alignment horizontal="right" vertical="bottom"/>
    </xf>
    <xf borderId="17" fillId="5" fontId="14" numFmtId="10" xfId="0" applyAlignment="1" applyBorder="1" applyFont="1" applyNumberFormat="1">
      <alignment horizontal="center" vertical="bottom"/>
    </xf>
    <xf borderId="11" fillId="5" fontId="4" numFmtId="10" xfId="0" applyAlignment="1" applyBorder="1" applyFont="1" applyNumberFormat="1">
      <alignment horizontal="center" vertical="bottom"/>
    </xf>
    <xf borderId="100" fillId="5" fontId="4" numFmtId="0" xfId="0" applyAlignment="1" applyBorder="1" applyFont="1">
      <alignment horizontal="right" vertical="bottom"/>
    </xf>
    <xf borderId="24" fillId="5" fontId="34" numFmtId="10" xfId="0" applyAlignment="1" applyBorder="1" applyFont="1" applyNumberFormat="1">
      <alignment horizontal="center" vertical="bottom"/>
    </xf>
    <xf borderId="24" fillId="5" fontId="4" numFmtId="10" xfId="0" applyAlignment="1" applyBorder="1" applyFont="1" applyNumberFormat="1">
      <alignment horizontal="center" vertical="bottom"/>
    </xf>
    <xf borderId="101" fillId="5" fontId="3" numFmtId="0" xfId="0" applyAlignment="1" applyBorder="1" applyFont="1">
      <alignment horizontal="center"/>
    </xf>
    <xf borderId="17" fillId="4" fontId="9" numFmtId="0" xfId="0" applyAlignment="1" applyBorder="1" applyFont="1">
      <alignment horizontal="center" vertical="center"/>
    </xf>
    <xf borderId="17" fillId="4" fontId="9" numFmtId="0" xfId="0" applyAlignment="1" applyBorder="1" applyFont="1">
      <alignment horizontal="center"/>
    </xf>
    <xf borderId="17" fillId="4" fontId="9" numFmtId="164" xfId="0" applyAlignment="1" applyBorder="1" applyFont="1" applyNumberFormat="1">
      <alignment horizontal="center"/>
    </xf>
    <xf borderId="17" fillId="4" fontId="38" numFmtId="164" xfId="0" applyAlignment="1" applyBorder="1" applyFont="1" applyNumberFormat="1">
      <alignment horizontal="center"/>
    </xf>
    <xf borderId="102" fillId="4" fontId="4" numFmtId="0" xfId="0" applyAlignment="1" applyBorder="1" applyFont="1">
      <alignment horizontal="right" vertical="bottom"/>
    </xf>
    <xf borderId="29" fillId="4" fontId="34" numFmtId="10" xfId="0" applyAlignment="1" applyBorder="1" applyFont="1" applyNumberFormat="1">
      <alignment horizontal="center" vertical="bottom"/>
    </xf>
    <xf borderId="29" fillId="4" fontId="4" numFmtId="10" xfId="0" applyAlignment="1" applyBorder="1" applyFont="1" applyNumberFormat="1">
      <alignment horizontal="center" vertical="bottom"/>
    </xf>
    <xf borderId="103" fillId="0" fontId="3" numFmtId="0" xfId="0" applyAlignment="1" applyBorder="1" applyFont="1">
      <alignment horizontal="center"/>
    </xf>
    <xf borderId="50" fillId="5" fontId="9" numFmtId="164" xfId="0" applyAlignment="1" applyBorder="1" applyFont="1" applyNumberFormat="1">
      <alignment horizontal="center"/>
    </xf>
    <xf borderId="50" fillId="5" fontId="29" numFmtId="0" xfId="0" applyBorder="1" applyFont="1"/>
    <xf borderId="51" fillId="5" fontId="29" numFmtId="0" xfId="0" applyBorder="1" applyFont="1"/>
    <xf borderId="53" fillId="5" fontId="29" numFmtId="164" xfId="0" applyBorder="1" applyFont="1" applyNumberFormat="1"/>
    <xf borderId="0" fillId="5" fontId="29" numFmtId="164" xfId="0" applyAlignment="1" applyFont="1" applyNumberFormat="1">
      <alignment horizontal="center"/>
    </xf>
    <xf borderId="0" fillId="5" fontId="29" numFmtId="10" xfId="0" applyAlignment="1" applyFont="1" applyNumberFormat="1">
      <alignment horizontal="center"/>
    </xf>
    <xf borderId="54" fillId="5" fontId="3" numFmtId="0" xfId="0" applyAlignment="1" applyBorder="1" applyFont="1">
      <alignment horizontal="center"/>
    </xf>
    <xf borderId="0" fillId="0" fontId="9" numFmtId="164" xfId="0" applyAlignment="1" applyFont="1" applyNumberFormat="1">
      <alignment horizontal="center"/>
    </xf>
    <xf borderId="54" fillId="0" fontId="3" numFmtId="0" xfId="0" applyAlignment="1" applyBorder="1" applyFont="1">
      <alignment horizontal="center"/>
    </xf>
    <xf borderId="0" fillId="3" fontId="9" numFmtId="0" xfId="0" applyFont="1"/>
    <xf borderId="0" fillId="3" fontId="9" numFmtId="0" xfId="0" applyAlignment="1" applyFont="1">
      <alignment horizontal="center" vertical="center"/>
    </xf>
    <xf borderId="0" fillId="3" fontId="9" numFmtId="0" xfId="0" applyAlignment="1" applyFont="1">
      <alignment horizontal="center"/>
    </xf>
    <xf borderId="0" fillId="3" fontId="9" numFmtId="164" xfId="0" applyAlignment="1" applyFont="1" applyNumberFormat="1">
      <alignment horizontal="center"/>
    </xf>
    <xf borderId="81" fillId="3" fontId="9" numFmtId="0" xfId="0" applyBorder="1" applyFont="1"/>
    <xf borderId="82" fillId="3" fontId="9" numFmtId="0" xfId="0" applyBorder="1" applyFont="1"/>
    <xf borderId="83" fillId="3" fontId="9" numFmtId="0" xfId="0" applyBorder="1" applyFont="1"/>
    <xf borderId="53" fillId="3" fontId="9" numFmtId="164" xfId="0" applyBorder="1" applyFont="1" applyNumberFormat="1"/>
    <xf borderId="0" fillId="3" fontId="9" numFmtId="10" xfId="0" applyAlignment="1" applyFont="1" applyNumberFormat="1">
      <alignment horizontal="center"/>
    </xf>
    <xf borderId="54" fillId="3" fontId="3" numFmtId="0" xfId="0" applyAlignment="1" applyBorder="1" applyFont="1">
      <alignment horizontal="center"/>
    </xf>
    <xf borderId="56" fillId="0" fontId="29" numFmtId="0" xfId="0" applyBorder="1" applyFont="1"/>
    <xf borderId="56" fillId="0" fontId="29" numFmtId="0" xfId="0" applyAlignment="1" applyBorder="1" applyFont="1">
      <alignment horizontal="center" vertical="center"/>
    </xf>
    <xf borderId="56" fillId="0" fontId="29" numFmtId="0" xfId="0" applyAlignment="1" applyBorder="1" applyFont="1">
      <alignment horizontal="center"/>
    </xf>
    <xf borderId="56" fillId="0" fontId="29" numFmtId="164" xfId="0" applyAlignment="1" applyBorder="1" applyFont="1" applyNumberFormat="1">
      <alignment horizontal="center"/>
    </xf>
    <xf borderId="57" fillId="0" fontId="29" numFmtId="0" xfId="0" applyBorder="1" applyFont="1"/>
    <xf borderId="53" fillId="0" fontId="29" numFmtId="164" xfId="0" applyAlignment="1" applyBorder="1" applyFont="1" applyNumberFormat="1">
      <alignment horizontal="center"/>
    </xf>
    <xf borderId="0" fillId="0" fontId="29" numFmtId="164" xfId="0" applyAlignment="1" applyFont="1" applyNumberFormat="1">
      <alignment horizontal="center"/>
    </xf>
    <xf borderId="0" fillId="0" fontId="29" numFmtId="10" xfId="0" applyAlignment="1" applyFont="1" applyNumberFormat="1">
      <alignment horizontal="center"/>
    </xf>
    <xf borderId="54" fillId="0" fontId="29" numFmtId="0" xfId="0" applyAlignment="1" applyBorder="1" applyFont="1">
      <alignment horizontal="center"/>
    </xf>
    <xf borderId="54" fillId="0" fontId="9" numFmtId="0" xfId="0" applyBorder="1" applyFont="1"/>
    <xf borderId="62" fillId="0" fontId="9" numFmtId="0" xfId="0" applyBorder="1" applyFont="1"/>
    <xf borderId="63" fillId="0" fontId="9" numFmtId="0" xfId="0" applyBorder="1" applyFont="1"/>
    <xf borderId="64" fillId="0" fontId="9" numFmtId="0" xfId="0" applyBorder="1" applyFont="1"/>
    <xf borderId="0" fillId="8" fontId="9" numFmtId="0" xfId="0" applyFill="1" applyFont="1"/>
    <xf borderId="0" fillId="8" fontId="9" numFmtId="164" xfId="0" applyFont="1" applyNumberFormat="1"/>
    <xf borderId="39" fillId="2" fontId="37" numFmtId="164" xfId="0" applyAlignment="1" applyBorder="1" applyFont="1" applyNumberFormat="1">
      <alignment horizontal="center" shrinkToFit="0" vertical="center" wrapText="1"/>
    </xf>
    <xf borderId="39" fillId="2" fontId="37" numFmtId="0" xfId="0" applyAlignment="1" applyBorder="1" applyFont="1">
      <alignment horizontal="center" shrinkToFit="0" vertical="center" wrapText="1"/>
    </xf>
    <xf borderId="42" fillId="2" fontId="37" numFmtId="0" xfId="0" applyAlignment="1" applyBorder="1" applyFont="1">
      <alignment horizontal="center" shrinkToFit="0" vertical="center" wrapText="1"/>
    </xf>
    <xf borderId="40" fillId="2" fontId="37" numFmtId="0" xfId="0" applyAlignment="1" applyBorder="1" applyFont="1">
      <alignment horizontal="center" shrinkToFit="0" vertical="center" wrapText="1"/>
    </xf>
    <xf borderId="0" fillId="5" fontId="28" numFmtId="0" xfId="0" applyAlignment="1" applyFont="1">
      <alignment horizontal="center" shrinkToFit="0" vertical="center" wrapText="1"/>
    </xf>
    <xf borderId="0" fillId="5" fontId="29" numFmtId="164" xfId="0" applyAlignment="1" applyFont="1" applyNumberFormat="1">
      <alignment horizontal="center" shrinkToFit="0" vertical="center" wrapText="1"/>
    </xf>
    <xf borderId="0" fillId="5" fontId="29" numFmtId="0" xfId="0" applyAlignment="1" applyFont="1">
      <alignment horizontal="center" shrinkToFit="0" vertical="center" wrapText="1"/>
    </xf>
    <xf borderId="53" fillId="5" fontId="30" numFmtId="164" xfId="0" applyAlignment="1" applyBorder="1" applyFont="1" applyNumberFormat="1">
      <alignment horizontal="center" shrinkToFit="0" vertical="center" wrapText="1"/>
    </xf>
    <xf borderId="0" fillId="5" fontId="30" numFmtId="4" xfId="0" applyAlignment="1" applyFont="1" applyNumberFormat="1">
      <alignment horizontal="center" shrinkToFit="0" vertical="center" wrapText="1"/>
    </xf>
    <xf borderId="0" fillId="0" fontId="9" numFmtId="49" xfId="0" applyAlignment="1" applyFont="1" applyNumberFormat="1">
      <alignment horizontal="center"/>
    </xf>
    <xf borderId="53" fillId="4" fontId="32" numFmtId="164" xfId="0" applyAlignment="1" applyBorder="1" applyFont="1" applyNumberFormat="1">
      <alignment horizontal="center" vertical="bottom"/>
    </xf>
    <xf borderId="0" fillId="4" fontId="37" numFmtId="4" xfId="0" applyAlignment="1" applyFont="1" applyNumberFormat="1">
      <alignment horizontal="center" vertical="bottom"/>
    </xf>
    <xf borderId="0" fillId="4" fontId="32" numFmtId="4" xfId="0" applyAlignment="1" applyFont="1" applyNumberFormat="1">
      <alignment horizontal="center" vertical="bottom"/>
    </xf>
    <xf borderId="0" fillId="4" fontId="32" numFmtId="164" xfId="0" applyAlignment="1" applyFont="1" applyNumberFormat="1">
      <alignment horizontal="center" vertical="bottom"/>
    </xf>
    <xf borderId="54" fillId="4" fontId="32" numFmtId="0" xfId="0" applyAlignment="1" applyBorder="1" applyFont="1">
      <alignment horizontal="right" vertical="bottom"/>
    </xf>
    <xf borderId="0" fillId="4" fontId="43" numFmtId="10" xfId="0" applyAlignment="1" applyFont="1" applyNumberFormat="1">
      <alignment horizontal="center" vertical="bottom"/>
    </xf>
    <xf borderId="54" fillId="4" fontId="32" numFmtId="4" xfId="0" applyAlignment="1" applyBorder="1" applyFont="1" applyNumberFormat="1">
      <alignment horizontal="center" vertical="bottom"/>
    </xf>
    <xf borderId="0" fillId="5" fontId="9" numFmtId="0" xfId="0" applyAlignment="1" applyFont="1">
      <alignment horizontal="center"/>
    </xf>
    <xf borderId="53" fillId="5" fontId="32" numFmtId="164" xfId="0" applyAlignment="1" applyBorder="1" applyFont="1" applyNumberFormat="1">
      <alignment horizontal="center" vertical="bottom"/>
    </xf>
    <xf borderId="0" fillId="5" fontId="37" numFmtId="4" xfId="0" applyAlignment="1" applyFont="1" applyNumberFormat="1">
      <alignment horizontal="center" vertical="bottom"/>
    </xf>
    <xf borderId="0" fillId="5" fontId="32" numFmtId="10" xfId="0" applyAlignment="1" applyFont="1" applyNumberFormat="1">
      <alignment horizontal="center" vertical="bottom"/>
    </xf>
    <xf borderId="0" fillId="5" fontId="32" numFmtId="4" xfId="0" applyAlignment="1" applyFont="1" applyNumberFormat="1">
      <alignment horizontal="center" vertical="bottom"/>
    </xf>
    <xf borderId="0" fillId="5" fontId="43" numFmtId="10" xfId="0" applyAlignment="1" applyFont="1" applyNumberFormat="1">
      <alignment horizontal="center" vertical="bottom"/>
    </xf>
    <xf borderId="0" fillId="5" fontId="32" numFmtId="164" xfId="0" applyAlignment="1" applyFont="1" applyNumberFormat="1">
      <alignment horizontal="center" vertical="bottom"/>
    </xf>
    <xf borderId="54" fillId="5" fontId="32" numFmtId="0" xfId="0" applyAlignment="1" applyBorder="1" applyFont="1">
      <alignment horizontal="right" vertical="bottom"/>
    </xf>
    <xf borderId="0" fillId="5" fontId="44" numFmtId="10" xfId="0" applyAlignment="1" applyFont="1" applyNumberFormat="1">
      <alignment horizontal="center" vertical="bottom"/>
    </xf>
    <xf borderId="54" fillId="5" fontId="32" numFmtId="4" xfId="0" applyAlignment="1" applyBorder="1" applyFont="1" applyNumberFormat="1">
      <alignment horizontal="center" vertical="bottom"/>
    </xf>
    <xf borderId="53" fillId="5" fontId="9" numFmtId="164" xfId="0" applyAlignment="1" applyBorder="1" applyFont="1" applyNumberFormat="1">
      <alignment horizontal="center"/>
    </xf>
    <xf borderId="53" fillId="0" fontId="9" numFmtId="164" xfId="0" applyAlignment="1" applyBorder="1" applyFont="1" applyNumberFormat="1">
      <alignment horizontal="center"/>
    </xf>
    <xf borderId="0" fillId="0" fontId="29" numFmtId="0" xfId="0" applyAlignment="1" applyFont="1">
      <alignment horizontal="center"/>
    </xf>
    <xf borderId="0" fillId="4" fontId="37" numFmtId="164" xfId="0" applyAlignment="1" applyFont="1" applyNumberFormat="1">
      <alignment horizontal="center" vertical="bottom"/>
    </xf>
    <xf borderId="54" fillId="0" fontId="29" numFmtId="4" xfId="0" applyAlignment="1" applyBorder="1" applyFont="1" applyNumberFormat="1">
      <alignment horizontal="center"/>
    </xf>
    <xf borderId="0" fillId="5" fontId="9" numFmtId="4" xfId="0" applyAlignment="1" applyFont="1" applyNumberFormat="1">
      <alignment horizontal="center"/>
    </xf>
    <xf borderId="54" fillId="5" fontId="9" numFmtId="0" xfId="0" applyBorder="1" applyFont="1"/>
    <xf borderId="0" fillId="5" fontId="9" numFmtId="10" xfId="0" applyFont="1" applyNumberFormat="1"/>
    <xf borderId="0" fillId="7" fontId="29" numFmtId="0" xfId="0" applyFont="1"/>
    <xf borderId="0" fillId="7" fontId="29" numFmtId="0" xfId="0" applyAlignment="1" applyFont="1">
      <alignment horizontal="center" vertical="center"/>
    </xf>
    <xf borderId="0" fillId="7" fontId="29" numFmtId="0" xfId="0" applyAlignment="1" applyFont="1">
      <alignment horizontal="center"/>
    </xf>
    <xf borderId="0" fillId="7" fontId="29" numFmtId="164" xfId="0" applyAlignment="1" applyFont="1" applyNumberFormat="1">
      <alignment horizontal="center"/>
    </xf>
    <xf borderId="53" fillId="7" fontId="29" numFmtId="164" xfId="0" applyAlignment="1" applyBorder="1" applyFont="1" applyNumberFormat="1">
      <alignment horizontal="center"/>
    </xf>
    <xf borderId="0" fillId="7" fontId="29" numFmtId="4" xfId="0" applyFont="1" applyNumberFormat="1"/>
    <xf borderId="0" fillId="7" fontId="29" numFmtId="10" xfId="0" applyAlignment="1" applyFont="1" applyNumberFormat="1">
      <alignment horizontal="right"/>
    </xf>
    <xf borderId="0" fillId="7" fontId="29" numFmtId="0" xfId="0" applyAlignment="1" applyFont="1">
      <alignment horizontal="right"/>
    </xf>
    <xf borderId="53" fillId="7" fontId="29" numFmtId="164" xfId="0" applyAlignment="1" applyBorder="1" applyFont="1" applyNumberFormat="1">
      <alignment horizontal="right"/>
    </xf>
    <xf borderId="0" fillId="7" fontId="29" numFmtId="164" xfId="0" applyAlignment="1" applyFont="1" applyNumberFormat="1">
      <alignment horizontal="right"/>
    </xf>
    <xf borderId="0" fillId="7" fontId="29" numFmtId="10" xfId="0" applyAlignment="1" applyFont="1" applyNumberFormat="1">
      <alignment horizontal="center"/>
    </xf>
    <xf borderId="54" fillId="7" fontId="29" numFmtId="0" xfId="0" applyAlignment="1" applyBorder="1" applyFont="1">
      <alignment horizontal="center"/>
    </xf>
    <xf borderId="54" fillId="7" fontId="29" numFmtId="0" xfId="0" applyBorder="1" applyFont="1"/>
    <xf borderId="0" fillId="5" fontId="9" numFmtId="4" xfId="0" applyFont="1" applyNumberFormat="1"/>
    <xf borderId="53" fillId="5" fontId="9" numFmtId="0" xfId="0" applyAlignment="1" applyBorder="1" applyFont="1">
      <alignment horizontal="center"/>
    </xf>
    <xf borderId="0" fillId="7" fontId="9" numFmtId="0" xfId="0" applyFont="1"/>
    <xf borderId="0" fillId="7" fontId="9" numFmtId="0" xfId="0" applyAlignment="1" applyFont="1">
      <alignment horizontal="center"/>
    </xf>
    <xf borderId="0" fillId="7" fontId="9" numFmtId="164" xfId="0" applyAlignment="1" applyFont="1" applyNumberFormat="1">
      <alignment horizontal="center"/>
    </xf>
    <xf borderId="53" fillId="7" fontId="9" numFmtId="164" xfId="0" applyAlignment="1" applyBorder="1" applyFont="1" applyNumberFormat="1">
      <alignment horizontal="center"/>
    </xf>
    <xf borderId="0" fillId="7" fontId="9" numFmtId="4" xfId="0" applyFont="1" applyNumberFormat="1"/>
    <xf borderId="0" fillId="7" fontId="9" numFmtId="10" xfId="0" applyFont="1" applyNumberFormat="1"/>
    <xf borderId="53" fillId="7" fontId="9" numFmtId="0" xfId="0" applyAlignment="1" applyBorder="1" applyFont="1">
      <alignment horizontal="center"/>
    </xf>
    <xf borderId="54" fillId="7" fontId="9" numFmtId="0" xfId="0" applyBorder="1" applyFont="1"/>
    <xf borderId="62" fillId="0" fontId="9" numFmtId="164" xfId="0" applyAlignment="1" applyBorder="1" applyFont="1" applyNumberFormat="1">
      <alignment horizontal="center"/>
    </xf>
    <xf borderId="63" fillId="0" fontId="9" numFmtId="4" xfId="0" applyBorder="1" applyFont="1" applyNumberFormat="1"/>
    <xf borderId="63" fillId="0" fontId="9" numFmtId="10" xfId="0" applyBorder="1" applyFont="1" applyNumberFormat="1"/>
    <xf borderId="62" fillId="0" fontId="9" numFmtId="0" xfId="0" applyAlignment="1" applyBorder="1" applyFont="1">
      <alignment horizontal="center"/>
    </xf>
    <xf borderId="104" fillId="2" fontId="30" numFmtId="0" xfId="0" applyAlignment="1" applyBorder="1" applyFont="1">
      <alignment horizontal="center" shrinkToFit="0" vertical="center" wrapText="1"/>
    </xf>
    <xf borderId="105" fillId="0" fontId="12" numFmtId="0" xfId="0" applyBorder="1" applyFont="1"/>
    <xf borderId="106" fillId="0" fontId="12" numFmtId="0" xfId="0" applyBorder="1" applyFont="1"/>
    <xf borderId="107" fillId="2" fontId="30" numFmtId="0" xfId="0" applyAlignment="1" applyBorder="1" applyFont="1">
      <alignment horizontal="center" shrinkToFit="0" vertical="center" wrapText="1"/>
    </xf>
    <xf borderId="95" fillId="2" fontId="30" numFmtId="0" xfId="0" applyAlignment="1" applyBorder="1" applyFont="1">
      <alignment horizontal="center" shrinkToFit="0" vertical="center" wrapText="1"/>
    </xf>
    <xf borderId="94" fillId="2" fontId="30" numFmtId="0" xfId="0" applyAlignment="1" applyBorder="1" applyFont="1">
      <alignment horizontal="center" shrinkToFit="0" vertical="center" wrapText="1"/>
    </xf>
    <xf borderId="108" fillId="5" fontId="30" numFmtId="0" xfId="0" applyAlignment="1" applyBorder="1" applyFont="1">
      <alignment horizontal="center" shrinkToFit="0" vertical="center" wrapText="1"/>
    </xf>
    <xf borderId="109" fillId="5" fontId="30" numFmtId="10" xfId="0" applyAlignment="1" applyBorder="1" applyFont="1" applyNumberFormat="1">
      <alignment horizontal="center" shrinkToFit="0" vertical="center" wrapText="1"/>
    </xf>
    <xf borderId="109" fillId="5" fontId="30" numFmtId="0" xfId="0" applyAlignment="1" applyBorder="1" applyFont="1">
      <alignment horizontal="center" shrinkToFit="0" vertical="center" wrapText="1"/>
    </xf>
    <xf borderId="110" fillId="5" fontId="30" numFmtId="0" xfId="0" applyAlignment="1" applyBorder="1" applyFont="1">
      <alignment horizontal="center" shrinkToFit="0" vertical="center" wrapText="1"/>
    </xf>
    <xf borderId="23" fillId="5" fontId="30" numFmtId="0" xfId="0" applyAlignment="1" applyBorder="1" applyFont="1">
      <alignment horizontal="center" shrinkToFit="0" vertical="center" wrapText="1"/>
    </xf>
    <xf borderId="24" fillId="5" fontId="30" numFmtId="0" xfId="0" applyAlignment="1" applyBorder="1" applyFont="1">
      <alignment horizontal="center" shrinkToFit="0" vertical="center" wrapText="1"/>
    </xf>
    <xf borderId="108" fillId="0" fontId="31" numFmtId="0" xfId="0" applyAlignment="1" applyBorder="1" applyFont="1">
      <alignment horizontal="center"/>
    </xf>
    <xf borderId="109" fillId="0" fontId="31" numFmtId="0" xfId="0" applyAlignment="1" applyBorder="1" applyFont="1">
      <alignment horizontal="center"/>
    </xf>
    <xf borderId="110" fillId="0" fontId="31" numFmtId="0" xfId="0" applyAlignment="1" applyBorder="1" applyFont="1">
      <alignment horizontal="center"/>
    </xf>
    <xf borderId="108" fillId="5" fontId="31" numFmtId="0" xfId="0" applyAlignment="1" applyBorder="1" applyFont="1">
      <alignment horizontal="center"/>
    </xf>
    <xf borderId="109" fillId="5" fontId="31" numFmtId="0" xfId="0" applyAlignment="1" applyBorder="1" applyFont="1">
      <alignment horizontal="center"/>
    </xf>
    <xf borderId="110" fillId="5" fontId="31" numFmtId="0" xfId="0" applyAlignment="1" applyBorder="1" applyFont="1">
      <alignment horizontal="center"/>
    </xf>
    <xf borderId="108" fillId="4" fontId="32" numFmtId="0" xfId="0" applyAlignment="1" applyBorder="1" applyFont="1">
      <alignment horizontal="right" vertical="bottom"/>
    </xf>
    <xf borderId="109" fillId="4" fontId="42" numFmtId="10" xfId="0" applyAlignment="1" applyBorder="1" applyFont="1" applyNumberFormat="1">
      <alignment horizontal="center" vertical="bottom"/>
    </xf>
    <xf borderId="109" fillId="4" fontId="32" numFmtId="10" xfId="0" applyAlignment="1" applyBorder="1" applyFont="1" applyNumberFormat="1">
      <alignment horizontal="center" vertical="bottom"/>
    </xf>
    <xf borderId="111" fillId="4" fontId="33" numFmtId="0" xfId="0" applyAlignment="1" applyBorder="1" applyFont="1">
      <alignment horizontal="center" vertical="bottom"/>
    </xf>
    <xf borderId="112" fillId="4" fontId="33" numFmtId="0" xfId="0" applyAlignment="1" applyBorder="1" applyFont="1">
      <alignment horizontal="center" vertical="bottom"/>
    </xf>
    <xf borderId="113" fillId="5" fontId="31" numFmtId="164" xfId="0" applyBorder="1" applyFont="1" applyNumberFormat="1"/>
    <xf borderId="114" fillId="5" fontId="31" numFmtId="10" xfId="0" applyBorder="1" applyFont="1" applyNumberFormat="1"/>
    <xf borderId="114" fillId="5" fontId="31" numFmtId="164" xfId="0" applyBorder="1" applyFont="1" applyNumberFormat="1"/>
    <xf borderId="114" fillId="5" fontId="31" numFmtId="10" xfId="0" applyAlignment="1" applyBorder="1" applyFont="1" applyNumberFormat="1">
      <alignment horizontal="center"/>
    </xf>
    <xf borderId="115" fillId="5" fontId="31" numFmtId="0" xfId="0" applyAlignment="1" applyBorder="1" applyFont="1">
      <alignment horizontal="center"/>
    </xf>
    <xf borderId="116" fillId="0" fontId="31" numFmtId="164" xfId="0" applyBorder="1" applyFont="1" applyNumberFormat="1"/>
    <xf borderId="34" fillId="0" fontId="31" numFmtId="10" xfId="0" applyBorder="1" applyFont="1" applyNumberFormat="1"/>
    <xf borderId="34" fillId="0" fontId="31" numFmtId="164" xfId="0" applyBorder="1" applyFont="1" applyNumberFormat="1"/>
    <xf borderId="34" fillId="0" fontId="31" numFmtId="10" xfId="0" applyAlignment="1" applyBorder="1" applyFont="1" applyNumberFormat="1">
      <alignment horizontal="center"/>
    </xf>
    <xf borderId="35" fillId="0" fontId="31" numFmtId="0" xfId="0" applyAlignment="1" applyBorder="1" applyFont="1">
      <alignment horizontal="center"/>
    </xf>
    <xf borderId="26" fillId="5" fontId="31" numFmtId="0" xfId="0" applyBorder="1" applyFont="1"/>
    <xf borderId="27" fillId="5" fontId="31" numFmtId="0" xfId="0" applyAlignment="1" applyBorder="1" applyFont="1">
      <alignment horizontal="center" vertical="center"/>
    </xf>
    <xf borderId="27" fillId="5" fontId="31" numFmtId="164" xfId="0" applyAlignment="1" applyBorder="1" applyFont="1" applyNumberFormat="1">
      <alignment horizontal="center"/>
    </xf>
    <xf borderId="117" fillId="5" fontId="31" numFmtId="164" xfId="0" applyAlignment="1" applyBorder="1" applyFont="1" applyNumberFormat="1">
      <alignment horizontal="center"/>
    </xf>
    <xf borderId="118" fillId="5" fontId="31" numFmtId="164" xfId="0" applyBorder="1" applyFont="1" applyNumberFormat="1"/>
    <xf borderId="119" fillId="5" fontId="31" numFmtId="10" xfId="0" applyBorder="1" applyFont="1" applyNumberFormat="1"/>
    <xf borderId="119" fillId="5" fontId="31" numFmtId="164" xfId="0" applyBorder="1" applyFont="1" applyNumberFormat="1"/>
    <xf borderId="119" fillId="5" fontId="31" numFmtId="10" xfId="0" applyAlignment="1" applyBorder="1" applyFont="1" applyNumberFormat="1">
      <alignment horizontal="center"/>
    </xf>
    <xf borderId="120" fillId="5" fontId="31" numFmtId="0" xfId="0" applyAlignment="1" applyBorder="1" applyFont="1">
      <alignment horizontal="center"/>
    </xf>
    <xf borderId="17" fillId="4" fontId="28" numFmtId="0" xfId="0" applyAlignment="1" applyBorder="1" applyFont="1">
      <alignment horizontal="center" shrinkToFit="0" vertical="center" wrapText="1"/>
    </xf>
    <xf borderId="11" fillId="4" fontId="41" numFmtId="0" xfId="0" applyAlignment="1" applyBorder="1" applyFont="1">
      <alignment horizontal="center" shrinkToFit="0" vertical="center" wrapText="1"/>
    </xf>
    <xf borderId="17" fillId="4" fontId="29" numFmtId="164" xfId="0" applyAlignment="1" applyBorder="1" applyFont="1" applyNumberFormat="1">
      <alignment horizontal="center" shrinkToFit="0" vertical="center" wrapText="1"/>
    </xf>
    <xf borderId="11" fillId="4" fontId="29" numFmtId="0" xfId="0" applyAlignment="1" applyBorder="1" applyFont="1">
      <alignment horizontal="center" shrinkToFit="0" vertical="center" wrapText="1"/>
    </xf>
    <xf borderId="36" fillId="2" fontId="30" numFmtId="0" xfId="0" applyAlignment="1" applyBorder="1" applyFont="1">
      <alignment horizontal="center" shrinkToFit="0" vertical="center" wrapText="1"/>
    </xf>
    <xf borderId="121" fillId="0" fontId="12" numFmtId="0" xfId="0" applyBorder="1" applyFont="1"/>
    <xf borderId="122" fillId="2" fontId="30" numFmtId="0" xfId="0" applyAlignment="1" applyBorder="1" applyFont="1">
      <alignment horizontal="center" shrinkToFit="0" vertical="center" wrapText="1"/>
    </xf>
    <xf borderId="37" fillId="2" fontId="30" numFmtId="0" xfId="0" applyAlignment="1" applyBorder="1" applyFont="1">
      <alignment horizontal="center" shrinkToFit="0" vertical="center" wrapText="1"/>
    </xf>
    <xf borderId="43" fillId="5" fontId="30" numFmtId="0" xfId="0" applyAlignment="1" applyBorder="1" applyFont="1">
      <alignment horizontal="center" shrinkToFit="0" vertical="center" wrapText="1"/>
    </xf>
    <xf borderId="123" fillId="5" fontId="30" numFmtId="0" xfId="0" applyAlignment="1" applyBorder="1" applyFont="1">
      <alignment horizontal="center" shrinkToFit="0" vertical="center" wrapText="1"/>
    </xf>
    <xf borderId="17" fillId="0" fontId="31" numFmtId="0" xfId="0" applyBorder="1" applyFont="1"/>
    <xf borderId="17" fillId="0" fontId="31" numFmtId="0" xfId="0" applyAlignment="1" applyBorder="1" applyFont="1">
      <alignment horizontal="center" vertical="center"/>
    </xf>
    <xf borderId="17" fillId="0" fontId="31" numFmtId="164" xfId="0" applyAlignment="1" applyBorder="1" applyFont="1" applyNumberFormat="1">
      <alignment horizontal="center"/>
    </xf>
    <xf borderId="17" fillId="0" fontId="31" numFmtId="49" xfId="0" applyAlignment="1" applyBorder="1" applyFont="1" applyNumberFormat="1">
      <alignment horizontal="center"/>
    </xf>
    <xf borderId="17" fillId="0" fontId="31" numFmtId="0" xfId="0" applyAlignment="1" applyBorder="1" applyFont="1">
      <alignment horizontal="center"/>
    </xf>
    <xf borderId="11" fillId="0" fontId="31" numFmtId="0" xfId="0" applyAlignment="1" applyBorder="1" applyFont="1">
      <alignment horizontal="center"/>
    </xf>
    <xf borderId="43" fillId="0" fontId="31" numFmtId="0" xfId="0" applyAlignment="1" applyBorder="1" applyFont="1">
      <alignment horizontal="center"/>
    </xf>
    <xf borderId="123" fillId="0" fontId="31" numFmtId="0" xfId="0" applyAlignment="1" applyBorder="1" applyFont="1">
      <alignment horizontal="center"/>
    </xf>
    <xf borderId="13" fillId="0" fontId="31" numFmtId="0" xfId="0" applyAlignment="1" applyBorder="1" applyFont="1">
      <alignment horizontal="center"/>
    </xf>
    <xf borderId="17" fillId="5" fontId="31" numFmtId="0" xfId="0" applyBorder="1" applyFont="1"/>
    <xf borderId="17" fillId="5" fontId="31" numFmtId="0" xfId="0" applyAlignment="1" applyBorder="1" applyFont="1">
      <alignment horizontal="center" vertical="center"/>
    </xf>
    <xf borderId="17" fillId="5" fontId="31" numFmtId="164" xfId="0" applyAlignment="1" applyBorder="1" applyFont="1" applyNumberFormat="1">
      <alignment horizontal="center"/>
    </xf>
    <xf borderId="17" fillId="5" fontId="31" numFmtId="0" xfId="0" applyAlignment="1" applyBorder="1" applyFont="1">
      <alignment horizontal="center"/>
    </xf>
    <xf borderId="11" fillId="5" fontId="31" numFmtId="0" xfId="0" applyAlignment="1" applyBorder="1" applyFont="1">
      <alignment horizontal="center"/>
    </xf>
    <xf borderId="43" fillId="5" fontId="31" numFmtId="0" xfId="0" applyAlignment="1" applyBorder="1" applyFont="1">
      <alignment horizontal="center"/>
    </xf>
    <xf borderId="123" fillId="5" fontId="31" numFmtId="0" xfId="0" applyAlignment="1" applyBorder="1" applyFont="1">
      <alignment horizontal="center"/>
    </xf>
    <xf borderId="13" fillId="5" fontId="31" numFmtId="0" xfId="0" applyAlignment="1" applyBorder="1" applyFont="1">
      <alignment horizontal="center"/>
    </xf>
    <xf borderId="17" fillId="7" fontId="31" numFmtId="0" xfId="0" applyBorder="1" applyFont="1"/>
    <xf borderId="17" fillId="7" fontId="31" numFmtId="0" xfId="0" applyAlignment="1" applyBorder="1" applyFont="1">
      <alignment horizontal="center" vertical="center"/>
    </xf>
    <xf borderId="17" fillId="7" fontId="31" numFmtId="164" xfId="0" applyAlignment="1" applyBorder="1" applyFont="1" applyNumberFormat="1">
      <alignment horizontal="center"/>
    </xf>
    <xf borderId="17" fillId="7" fontId="31" numFmtId="0" xfId="0" applyAlignment="1" applyBorder="1" applyFont="1">
      <alignment horizontal="center"/>
    </xf>
    <xf borderId="11" fillId="7" fontId="31" numFmtId="0" xfId="0" applyAlignment="1" applyBorder="1" applyFont="1">
      <alignment horizontal="center"/>
    </xf>
    <xf borderId="43" fillId="4" fontId="32" numFmtId="0" xfId="0" applyAlignment="1" applyBorder="1" applyFont="1">
      <alignment horizontal="right" vertical="bottom"/>
    </xf>
    <xf borderId="17" fillId="4" fontId="42" numFmtId="10" xfId="0" applyAlignment="1" applyBorder="1" applyFont="1" applyNumberFormat="1">
      <alignment horizontal="center" vertical="bottom"/>
    </xf>
    <xf borderId="17" fillId="4" fontId="32" numFmtId="10" xfId="0" applyAlignment="1" applyBorder="1" applyFont="1" applyNumberFormat="1">
      <alignment horizontal="center" vertical="bottom"/>
    </xf>
    <xf borderId="123" fillId="4" fontId="32" numFmtId="0" xfId="0" applyAlignment="1" applyBorder="1" applyFont="1">
      <alignment horizontal="right" vertical="bottom"/>
    </xf>
    <xf borderId="123" fillId="4" fontId="33" numFmtId="0" xfId="0" applyAlignment="1" applyBorder="1" applyFont="1">
      <alignment horizontal="center" vertical="bottom"/>
    </xf>
    <xf borderId="13" fillId="4" fontId="33" numFmtId="0" xfId="0" applyAlignment="1" applyBorder="1" applyFont="1">
      <alignment horizontal="center" vertical="bottom"/>
    </xf>
    <xf borderId="17" fillId="4" fontId="33" numFmtId="0" xfId="0" applyAlignment="1" applyBorder="1" applyFont="1">
      <alignment horizontal="center" vertical="bottom"/>
    </xf>
    <xf borderId="11" fillId="5" fontId="31" numFmtId="164" xfId="0" applyAlignment="1" applyBorder="1" applyFont="1" applyNumberFormat="1">
      <alignment horizontal="center"/>
    </xf>
    <xf borderId="43" fillId="5" fontId="31" numFmtId="164" xfId="0" applyBorder="1" applyFont="1" applyNumberFormat="1"/>
    <xf borderId="17" fillId="5" fontId="31" numFmtId="10" xfId="0" applyBorder="1" applyFont="1" applyNumberFormat="1"/>
    <xf borderId="17" fillId="5" fontId="31" numFmtId="164" xfId="0" applyBorder="1" applyFont="1" applyNumberFormat="1"/>
    <xf borderId="17" fillId="5" fontId="31" numFmtId="10" xfId="0" applyAlignment="1" applyBorder="1" applyFont="1" applyNumberFormat="1">
      <alignment horizontal="center"/>
    </xf>
    <xf borderId="123" fillId="5" fontId="31" numFmtId="4" xfId="0" applyBorder="1" applyFont="1" applyNumberFormat="1"/>
    <xf borderId="17" fillId="5" fontId="31" numFmtId="165" xfId="0" applyAlignment="1" applyBorder="1" applyFont="1" applyNumberFormat="1">
      <alignment horizontal="center"/>
    </xf>
    <xf borderId="123" fillId="5" fontId="31" numFmtId="164" xfId="0" applyBorder="1" applyFont="1" applyNumberFormat="1"/>
    <xf borderId="13" fillId="5" fontId="31" numFmtId="164" xfId="0" applyBorder="1" applyFont="1" applyNumberFormat="1"/>
    <xf borderId="17" fillId="5" fontId="31" numFmtId="165" xfId="0" applyBorder="1" applyFont="1" applyNumberFormat="1"/>
    <xf borderId="123" fillId="5" fontId="31" numFmtId="165" xfId="0" applyBorder="1" applyFont="1" applyNumberFormat="1"/>
    <xf borderId="11" fillId="0" fontId="31" numFmtId="164" xfId="0" applyAlignment="1" applyBorder="1" applyFont="1" applyNumberFormat="1">
      <alignment horizontal="center"/>
    </xf>
    <xf borderId="43" fillId="0" fontId="31" numFmtId="164" xfId="0" applyBorder="1" applyFont="1" applyNumberFormat="1"/>
    <xf borderId="17" fillId="0" fontId="31" numFmtId="10" xfId="0" applyBorder="1" applyFont="1" applyNumberFormat="1"/>
    <xf borderId="17" fillId="0" fontId="31" numFmtId="164" xfId="0" applyBorder="1" applyFont="1" applyNumberFormat="1"/>
    <xf borderId="17" fillId="0" fontId="31" numFmtId="10" xfId="0" applyAlignment="1" applyBorder="1" applyFont="1" applyNumberFormat="1">
      <alignment horizontal="center"/>
    </xf>
    <xf borderId="123" fillId="0" fontId="31" numFmtId="0" xfId="0" applyBorder="1" applyFont="1"/>
    <xf borderId="43" fillId="0" fontId="31" numFmtId="0" xfId="0" applyBorder="1" applyFont="1"/>
    <xf borderId="123" fillId="0" fontId="31" numFmtId="164" xfId="0" applyBorder="1" applyFont="1" applyNumberFormat="1"/>
    <xf borderId="13" fillId="0" fontId="31" numFmtId="164" xfId="0" applyBorder="1" applyFont="1" applyNumberFormat="1"/>
    <xf borderId="17" fillId="0" fontId="31" numFmtId="165" xfId="0" applyBorder="1" applyFont="1" applyNumberFormat="1"/>
    <xf borderId="123" fillId="0" fontId="31" numFmtId="4" xfId="0" applyBorder="1" applyFont="1" applyNumberFormat="1"/>
    <xf borderId="123" fillId="5" fontId="31" numFmtId="0" xfId="0" applyBorder="1" applyFont="1"/>
    <xf borderId="17" fillId="0" fontId="30" numFmtId="0" xfId="0" applyBorder="1" applyFont="1"/>
    <xf borderId="17" fillId="0" fontId="30" numFmtId="0" xfId="0" applyAlignment="1" applyBorder="1" applyFont="1">
      <alignment horizontal="center" vertical="center"/>
    </xf>
    <xf borderId="17" fillId="0" fontId="30" numFmtId="164" xfId="0" applyAlignment="1" applyBorder="1" applyFont="1" applyNumberFormat="1">
      <alignment horizontal="center"/>
    </xf>
    <xf borderId="11" fillId="0" fontId="30" numFmtId="164" xfId="0" applyAlignment="1" applyBorder="1" applyFont="1" applyNumberFormat="1">
      <alignment horizontal="center"/>
    </xf>
    <xf borderId="43" fillId="0" fontId="30" numFmtId="164" xfId="0" applyBorder="1" applyFont="1" applyNumberFormat="1"/>
    <xf borderId="17" fillId="0" fontId="30" numFmtId="164" xfId="0" applyBorder="1" applyFont="1" applyNumberFormat="1"/>
    <xf borderId="17" fillId="0" fontId="30" numFmtId="10" xfId="0" applyBorder="1" applyFont="1" applyNumberFormat="1"/>
    <xf borderId="123" fillId="0" fontId="30" numFmtId="0" xfId="0" applyBorder="1" applyFont="1"/>
    <xf borderId="43" fillId="0" fontId="30" numFmtId="0" xfId="0" applyBorder="1" applyFont="1"/>
    <xf borderId="13" fillId="0" fontId="30" numFmtId="164" xfId="0" applyBorder="1" applyFont="1" applyNumberFormat="1"/>
    <xf borderId="123" fillId="0" fontId="23" numFmtId="0" xfId="0" applyBorder="1" applyFont="1"/>
    <xf borderId="11" fillId="0" fontId="3" numFmtId="4" xfId="0" applyBorder="1" applyFont="1" applyNumberFormat="1"/>
    <xf borderId="43" fillId="0" fontId="3" numFmtId="4" xfId="0" applyBorder="1" applyFont="1" applyNumberFormat="1"/>
    <xf borderId="17" fillId="0" fontId="31" numFmtId="9" xfId="0" applyBorder="1" applyFont="1" applyNumberFormat="1"/>
    <xf borderId="13" fillId="0" fontId="31" numFmtId="0" xfId="0" applyBorder="1" applyFont="1"/>
    <xf borderId="123" fillId="0" fontId="5" numFmtId="0" xfId="0" applyBorder="1" applyFont="1"/>
    <xf borderId="17" fillId="0" fontId="3" numFmtId="0" xfId="0" applyBorder="1" applyFont="1"/>
    <xf borderId="17" fillId="0" fontId="5" numFmtId="0" xfId="0" applyBorder="1" applyFont="1"/>
    <xf borderId="11" fillId="0" fontId="5" numFmtId="0" xfId="0" applyBorder="1" applyFont="1"/>
    <xf borderId="43" fillId="0" fontId="5" numFmtId="0" xfId="0" applyBorder="1" applyFont="1"/>
    <xf borderId="13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124" fillId="0" fontId="5" numFmtId="0" xfId="0" applyBorder="1" applyFont="1"/>
    <xf borderId="125" fillId="0" fontId="5" numFmtId="0" xfId="0" applyBorder="1" applyFont="1"/>
    <xf borderId="95" fillId="4" fontId="41" numFmtId="0" xfId="0" applyAlignment="1" applyBorder="1" applyFont="1">
      <alignment horizontal="center" shrinkToFit="0" vertical="center" wrapText="1"/>
    </xf>
    <xf borderId="24" fillId="5" fontId="29" numFmtId="0" xfId="0" applyAlignment="1" applyBorder="1" applyFont="1">
      <alignment horizontal="center" shrinkToFit="0" vertical="center" wrapText="1"/>
    </xf>
    <xf borderId="26" fillId="4" fontId="45" numFmtId="0" xfId="0" applyAlignment="1" applyBorder="1" applyFont="1">
      <alignment horizontal="center" shrinkToFit="0" vertical="center" wrapText="1"/>
    </xf>
    <xf borderId="27" fillId="0" fontId="12" numFmtId="0" xfId="0" applyBorder="1" applyFont="1"/>
    <xf borderId="117" fillId="0" fontId="12" numFmtId="0" xfId="0" applyBorder="1" applyFont="1"/>
    <xf borderId="126" fillId="2" fontId="37" numFmtId="0" xfId="0" applyAlignment="1" applyBorder="1" applyFont="1">
      <alignment horizontal="center" shrinkToFit="0" vertical="center" wrapText="1"/>
    </xf>
    <xf borderId="126" fillId="2" fontId="37" numFmtId="164" xfId="0" applyAlignment="1" applyBorder="1" applyFont="1" applyNumberFormat="1">
      <alignment horizontal="center" vertical="center"/>
    </xf>
    <xf borderId="0" fillId="0" fontId="7" numFmtId="0" xfId="0" applyFont="1"/>
    <xf borderId="127" fillId="0" fontId="31" numFmtId="0" xfId="0" applyAlignment="1" applyBorder="1" applyFont="1">
      <alignment horizontal="left"/>
    </xf>
    <xf borderId="127" fillId="0" fontId="31" numFmtId="0" xfId="0" applyAlignment="1" applyBorder="1" applyFont="1">
      <alignment horizontal="center"/>
    </xf>
    <xf borderId="127" fillId="4" fontId="32" numFmtId="164" xfId="0" applyAlignment="1" applyBorder="1" applyFont="1" applyNumberFormat="1">
      <alignment horizontal="right"/>
    </xf>
    <xf borderId="127" fillId="5" fontId="31" numFmtId="0" xfId="0" applyAlignment="1" applyBorder="1" applyFont="1">
      <alignment horizontal="left"/>
    </xf>
    <xf borderId="127" fillId="5" fontId="31" numFmtId="3" xfId="0" applyAlignment="1" applyBorder="1" applyFont="1" applyNumberFormat="1">
      <alignment horizontal="center"/>
    </xf>
    <xf borderId="127" fillId="5" fontId="31" numFmtId="0" xfId="0" applyAlignment="1" applyBorder="1" applyFont="1">
      <alignment horizontal="center"/>
    </xf>
    <xf borderId="127" fillId="5" fontId="32" numFmtId="164" xfId="0" applyAlignment="1" applyBorder="1" applyFont="1" applyNumberFormat="1">
      <alignment horizontal="right"/>
    </xf>
    <xf borderId="127" fillId="0" fontId="32" numFmtId="0" xfId="0" applyAlignment="1" applyBorder="1" applyFont="1">
      <alignment horizontal="center"/>
    </xf>
    <xf borderId="0" fillId="0" fontId="38" numFmtId="0" xfId="0" applyFont="1"/>
    <xf borderId="128" fillId="5" fontId="31" numFmtId="0" xfId="0" applyBorder="1" applyFont="1"/>
    <xf borderId="128" fillId="5" fontId="32" numFmtId="0" xfId="0" applyAlignment="1" applyBorder="1" applyFont="1">
      <alignment horizontal="center"/>
    </xf>
    <xf borderId="128" fillId="5" fontId="32" numFmtId="164" xfId="0" applyBorder="1" applyFont="1" applyNumberFormat="1"/>
    <xf borderId="128" fillId="5" fontId="32" numFmtId="164" xfId="0" applyAlignment="1" applyBorder="1" applyFont="1" applyNumberFormat="1">
      <alignment horizontal="right"/>
    </xf>
    <xf borderId="0" fillId="0" fontId="32" numFmtId="0" xfId="0" applyAlignment="1" applyFont="1">
      <alignment horizontal="center"/>
    </xf>
    <xf borderId="0" fillId="4" fontId="32" numFmtId="164" xfId="0" applyFont="1" applyNumberFormat="1"/>
    <xf borderId="0" fillId="4" fontId="32" numFmtId="164" xfId="0" applyAlignment="1" applyFont="1" applyNumberFormat="1">
      <alignment horizontal="right"/>
    </xf>
    <xf borderId="0" fillId="5" fontId="32" numFmtId="0" xfId="0" applyAlignment="1" applyFont="1">
      <alignment horizontal="center"/>
    </xf>
    <xf borderId="0" fillId="5" fontId="32" numFmtId="164" xfId="0" applyFont="1" applyNumberFormat="1"/>
    <xf borderId="0" fillId="5" fontId="32" numFmtId="164" xfId="0" applyAlignment="1" applyFont="1" applyNumberFormat="1">
      <alignment horizontal="right"/>
    </xf>
    <xf borderId="126" fillId="0" fontId="30" numFmtId="0" xfId="0" applyBorder="1" applyFont="1"/>
    <xf borderId="126" fillId="0" fontId="37" numFmtId="0" xfId="0" applyAlignment="1" applyBorder="1" applyFont="1">
      <alignment horizontal="center"/>
    </xf>
    <xf borderId="126" fillId="4" fontId="37" numFmtId="164" xfId="0" applyBorder="1" applyFont="1" applyNumberFormat="1"/>
    <xf borderId="126" fillId="4" fontId="37" numFmtId="164" xfId="0" applyAlignment="1" applyBorder="1" applyFont="1" applyNumberFormat="1">
      <alignment horizontal="right"/>
    </xf>
    <xf borderId="127" fillId="5" fontId="31" numFmtId="0" xfId="0" applyBorder="1" applyFont="1"/>
    <xf borderId="127" fillId="5" fontId="32" numFmtId="0" xfId="0" applyAlignment="1" applyBorder="1" applyFont="1">
      <alignment horizontal="center"/>
    </xf>
    <xf borderId="127" fillId="5" fontId="32" numFmtId="0" xfId="0" applyBorder="1" applyFont="1"/>
    <xf borderId="127" fillId="5" fontId="32" numFmtId="164" xfId="0" applyBorder="1" applyFont="1" applyNumberFormat="1"/>
    <xf borderId="127" fillId="0" fontId="31" numFmtId="0" xfId="0" applyBorder="1" applyFont="1"/>
    <xf borderId="127" fillId="0" fontId="32" numFmtId="0" xfId="0" applyBorder="1" applyFont="1"/>
    <xf borderId="127" fillId="0" fontId="32" numFmtId="164" xfId="0" applyBorder="1" applyFont="1" applyNumberFormat="1"/>
    <xf borderId="88" fillId="4" fontId="45" numFmtId="0" xfId="0" applyAlignment="1" applyBorder="1" applyFont="1">
      <alignment horizontal="center" shrinkToFit="0" vertical="center" wrapText="1"/>
    </xf>
    <xf borderId="89" fillId="0" fontId="12" numFmtId="0" xfId="0" applyBorder="1" applyFont="1"/>
    <xf borderId="86" fillId="0" fontId="12" numFmtId="0" xfId="0" applyBorder="1" applyFont="1"/>
    <xf borderId="129" fillId="2" fontId="37" numFmtId="0" xfId="0" applyAlignment="1" applyBorder="1" applyFont="1">
      <alignment horizontal="center" shrinkToFit="0" vertical="center" wrapText="1"/>
    </xf>
    <xf borderId="130" fillId="2" fontId="37" numFmtId="0" xfId="0" applyAlignment="1" applyBorder="1" applyFont="1">
      <alignment horizontal="center" shrinkToFit="0" vertical="center" wrapText="1"/>
    </xf>
    <xf borderId="131" fillId="0" fontId="31" numFmtId="0" xfId="0" applyAlignment="1" applyBorder="1" applyFont="1">
      <alignment horizontal="left"/>
    </xf>
    <xf borderId="132" fillId="4" fontId="32" numFmtId="164" xfId="0" applyAlignment="1" applyBorder="1" applyFont="1" applyNumberFormat="1">
      <alignment horizontal="right"/>
    </xf>
    <xf borderId="131" fillId="5" fontId="31" numFmtId="0" xfId="0" applyAlignment="1" applyBorder="1" applyFont="1">
      <alignment horizontal="left"/>
    </xf>
    <xf borderId="132" fillId="5" fontId="32" numFmtId="164" xfId="0" applyAlignment="1" applyBorder="1" applyFont="1" applyNumberFormat="1">
      <alignment horizontal="right"/>
    </xf>
    <xf borderId="133" fillId="5" fontId="31" numFmtId="0" xfId="0" applyBorder="1" applyFont="1"/>
    <xf borderId="134" fillId="5" fontId="32" numFmtId="164" xfId="0" applyAlignment="1" applyBorder="1" applyFont="1" applyNumberFormat="1">
      <alignment horizontal="right"/>
    </xf>
    <xf borderId="135" fillId="0" fontId="31" numFmtId="0" xfId="0" applyBorder="1" applyFont="1"/>
    <xf borderId="136" fillId="4" fontId="32" numFmtId="164" xfId="0" applyAlignment="1" applyBorder="1" applyFont="1" applyNumberFormat="1">
      <alignment horizontal="right"/>
    </xf>
    <xf borderId="135" fillId="5" fontId="31" numFmtId="0" xfId="0" applyBorder="1" applyFont="1"/>
    <xf borderId="0" fillId="5" fontId="37" numFmtId="0" xfId="0" applyAlignment="1" applyFont="1">
      <alignment horizontal="center"/>
    </xf>
    <xf borderId="0" fillId="5" fontId="37" numFmtId="164" xfId="0" applyFont="1" applyNumberFormat="1"/>
    <xf borderId="0" fillId="5" fontId="37" numFmtId="164" xfId="0" applyAlignment="1" applyFont="1" applyNumberFormat="1">
      <alignment horizontal="right"/>
    </xf>
    <xf borderId="136" fillId="5" fontId="37" numFmtId="164" xfId="0" applyAlignment="1" applyBorder="1" applyFont="1" applyNumberFormat="1">
      <alignment horizontal="right"/>
    </xf>
    <xf borderId="129" fillId="0" fontId="30" numFmtId="0" xfId="0" applyBorder="1" applyFont="1"/>
    <xf borderId="130" fillId="4" fontId="37" numFmtId="164" xfId="0" applyAlignment="1" applyBorder="1" applyFont="1" applyNumberFormat="1">
      <alignment horizontal="right"/>
    </xf>
    <xf borderId="131" fillId="5" fontId="31" numFmtId="0" xfId="0" applyBorder="1" applyFont="1"/>
    <xf borderId="131" fillId="0" fontId="31" numFmtId="0" xfId="0" applyBorder="1" applyFont="1"/>
    <xf borderId="137" fillId="5" fontId="31" numFmtId="0" xfId="0" applyBorder="1" applyFont="1"/>
    <xf borderId="138" fillId="5" fontId="32" numFmtId="0" xfId="0" applyAlignment="1" applyBorder="1" applyFont="1">
      <alignment horizontal="center"/>
    </xf>
    <xf borderId="138" fillId="5" fontId="32" numFmtId="0" xfId="0" applyBorder="1" applyFont="1"/>
    <xf borderId="138" fillId="5" fontId="32" numFmtId="164" xfId="0" applyBorder="1" applyFont="1" applyNumberFormat="1"/>
    <xf borderId="138" fillId="5" fontId="32" numFmtId="164" xfId="0" applyAlignment="1" applyBorder="1" applyFont="1" applyNumberFormat="1">
      <alignment horizontal="right"/>
    </xf>
    <xf borderId="139" fillId="5" fontId="32" numFmtId="164" xfId="0" applyAlignment="1" applyBorder="1" applyFont="1" applyNumberFormat="1">
      <alignment horizontal="right"/>
    </xf>
    <xf borderId="0" fillId="2" fontId="46" numFmtId="0" xfId="0" applyAlignment="1" applyFont="1">
      <alignment horizontal="center"/>
    </xf>
    <xf borderId="0" fillId="4" fontId="22" numFmtId="0" xfId="0" applyAlignment="1" applyFont="1">
      <alignment horizontal="center" shrinkToFit="0" vertical="center" wrapText="1"/>
    </xf>
    <xf borderId="11" fillId="3" fontId="22" numFmtId="0" xfId="0" applyAlignment="1" applyBorder="1" applyFont="1">
      <alignment horizontal="center" shrinkToFit="0" vertical="center" wrapText="1"/>
    </xf>
    <xf borderId="140" fillId="3" fontId="22" numFmtId="0" xfId="0" applyAlignment="1" applyBorder="1" applyFont="1">
      <alignment horizontal="center" shrinkToFit="0" vertical="center" wrapText="1"/>
    </xf>
    <xf borderId="17" fillId="3" fontId="22" numFmtId="0" xfId="0" applyAlignment="1" applyBorder="1" applyFont="1">
      <alignment horizontal="center" shrinkToFit="0" vertical="center" wrapText="1"/>
    </xf>
    <xf borderId="140" fillId="4" fontId="23" numFmtId="0" xfId="0" applyAlignment="1" applyBorder="1" applyFont="1">
      <alignment horizontal="left"/>
    </xf>
    <xf borderId="17" fillId="4" fontId="4" numFmtId="0" xfId="0" applyAlignment="1" applyBorder="1" applyFont="1">
      <alignment horizontal="right" vertical="bottom"/>
    </xf>
    <xf borderId="17" fillId="4" fontId="4" numFmtId="10" xfId="0" applyAlignment="1" applyBorder="1" applyFont="1" applyNumberFormat="1">
      <alignment horizontal="center" vertical="bottom"/>
    </xf>
    <xf borderId="140" fillId="3" fontId="23" numFmtId="0" xfId="0" applyAlignment="1" applyBorder="1" applyFont="1">
      <alignment horizontal="left"/>
    </xf>
    <xf borderId="17" fillId="3" fontId="4" numFmtId="0" xfId="0" applyAlignment="1" applyBorder="1" applyFont="1">
      <alignment horizontal="right" vertical="bottom"/>
    </xf>
    <xf borderId="17" fillId="3" fontId="39" numFmtId="10" xfId="0" applyAlignment="1" applyBorder="1" applyFont="1" applyNumberFormat="1">
      <alignment horizontal="center" vertical="bottom"/>
    </xf>
    <xf borderId="17" fillId="3" fontId="4" numFmtId="10" xfId="0" applyAlignment="1" applyBorder="1" applyFont="1" applyNumberFormat="1">
      <alignment horizontal="center" vertical="bottom"/>
    </xf>
    <xf borderId="17" fillId="3" fontId="36" numFmtId="0" xfId="0" applyAlignment="1" applyBorder="1" applyFont="1">
      <alignment horizontal="right" vertical="bottom"/>
    </xf>
    <xf borderId="17" fillId="3" fontId="36" numFmtId="0" xfId="0" applyAlignment="1" applyBorder="1" applyFont="1">
      <alignment horizontal="center" vertical="bottom"/>
    </xf>
    <xf borderId="17" fillId="3" fontId="34" numFmtId="10" xfId="0" applyAlignment="1" applyBorder="1" applyFont="1" applyNumberFormat="1">
      <alignment horizontal="center" vertical="bottom"/>
    </xf>
    <xf borderId="17" fillId="4" fontId="36" numFmtId="0" xfId="0" applyAlignment="1" applyBorder="1" applyFont="1">
      <alignment horizontal="right" vertical="bottom"/>
    </xf>
    <xf borderId="17" fillId="4" fontId="39" numFmtId="10" xfId="0" applyAlignment="1" applyBorder="1" applyFont="1" applyNumberFormat="1">
      <alignment horizontal="center" vertical="bottom"/>
    </xf>
    <xf borderId="17" fillId="4" fontId="47" numFmtId="10" xfId="0" applyAlignment="1" applyBorder="1" applyFont="1" applyNumberFormat="1">
      <alignment horizontal="center" vertical="bottom"/>
    </xf>
    <xf borderId="17" fillId="0" fontId="24" numFmtId="0" xfId="0" applyAlignment="1" applyBorder="1" applyFont="1">
      <alignment horizontal="center" shrinkToFit="0" vertical="center" wrapText="1"/>
    </xf>
    <xf borderId="141" fillId="2" fontId="37" numFmtId="0" xfId="0" applyAlignment="1" applyBorder="1" applyFont="1">
      <alignment horizontal="center" shrinkToFit="0" vertical="center" wrapText="1"/>
    </xf>
    <xf borderId="12" fillId="2" fontId="37" numFmtId="0" xfId="0" applyAlignment="1" applyBorder="1" applyFont="1">
      <alignment horizontal="center" shrinkToFit="0" vertical="center" wrapText="1"/>
    </xf>
    <xf borderId="11" fillId="5" fontId="30" numFmtId="10" xfId="0" applyAlignment="1" applyBorder="1" applyFont="1" applyNumberFormat="1">
      <alignment horizontal="center" shrinkToFit="0" vertical="center" wrapText="1"/>
    </xf>
    <xf borderId="142" fillId="5" fontId="30" numFmtId="0" xfId="0" applyAlignment="1" applyBorder="1" applyFont="1">
      <alignment horizontal="center" shrinkToFit="0" vertical="center" wrapText="1"/>
    </xf>
    <xf borderId="17" fillId="4" fontId="31" numFmtId="0" xfId="0" applyBorder="1" applyFont="1"/>
    <xf borderId="17" fillId="4" fontId="31" numFmtId="0" xfId="0" applyAlignment="1" applyBorder="1" applyFont="1">
      <alignment horizontal="center" vertical="center"/>
    </xf>
    <xf borderId="17" fillId="4" fontId="31" numFmtId="164" xfId="0" applyBorder="1" applyFont="1" applyNumberFormat="1"/>
    <xf borderId="17" fillId="4" fontId="31" numFmtId="49" xfId="0" applyAlignment="1" applyBorder="1" applyFont="1" applyNumberFormat="1">
      <alignment horizontal="right"/>
    </xf>
    <xf borderId="17" fillId="4" fontId="31" numFmtId="164" xfId="0" applyAlignment="1" applyBorder="1" applyFont="1" applyNumberFormat="1">
      <alignment horizontal="right"/>
    </xf>
    <xf borderId="142" fillId="4" fontId="4" numFmtId="0" xfId="0" applyAlignment="1" applyBorder="1" applyFont="1">
      <alignment horizontal="right" vertical="bottom"/>
    </xf>
    <xf borderId="78" fillId="4" fontId="4" numFmtId="10" xfId="0" applyAlignment="1" applyBorder="1" applyFont="1" applyNumberFormat="1">
      <alignment horizontal="center" vertical="bottom"/>
    </xf>
    <xf borderId="0" fillId="5" fontId="36" numFmtId="0" xfId="0" applyAlignment="1" applyFont="1">
      <alignment horizontal="center" vertical="bottom"/>
    </xf>
    <xf borderId="18" fillId="5" fontId="4" numFmtId="0" xfId="0" applyAlignment="1" applyBorder="1" applyFont="1">
      <alignment horizontal="right" vertical="bottom"/>
    </xf>
    <xf borderId="0" fillId="5" fontId="34" numFmtId="10" xfId="0" applyAlignment="1" applyFont="1" applyNumberFormat="1">
      <alignment horizontal="center" vertical="bottom"/>
    </xf>
    <xf borderId="17" fillId="5" fontId="4" numFmtId="10" xfId="0" applyAlignment="1" applyBorder="1" applyFont="1" applyNumberFormat="1">
      <alignment horizontal="center" vertical="bottom"/>
    </xf>
    <xf borderId="19" fillId="5" fontId="4" numFmtId="10" xfId="0" applyAlignment="1" applyBorder="1" applyFont="1" applyNumberFormat="1">
      <alignment horizontal="center" vertical="bottom"/>
    </xf>
    <xf borderId="143" fillId="5" fontId="36" numFmtId="0" xfId="0" applyAlignment="1" applyBorder="1" applyFont="1">
      <alignment horizontal="center" vertical="bottom"/>
    </xf>
    <xf borderId="144" fillId="5" fontId="36" numFmtId="0" xfId="0" applyAlignment="1" applyBorder="1" applyFont="1">
      <alignment horizontal="center" vertical="bottom"/>
    </xf>
    <xf borderId="0" fillId="4" fontId="31" numFmtId="0" xfId="0" applyAlignment="1" applyFont="1">
      <alignment horizontal="center" vertical="center"/>
    </xf>
    <xf borderId="0" fillId="4" fontId="31" numFmtId="164" xfId="0" applyFont="1" applyNumberFormat="1"/>
    <xf borderId="0" fillId="4" fontId="36" numFmtId="0" xfId="0" applyAlignment="1" applyFont="1">
      <alignment horizontal="center" vertical="bottom"/>
    </xf>
    <xf borderId="18" fillId="4" fontId="4" numFmtId="0" xfId="0" applyAlignment="1" applyBorder="1" applyFont="1">
      <alignment horizontal="right" vertical="bottom"/>
    </xf>
    <xf borderId="0" fillId="4" fontId="34" numFmtId="10" xfId="0" applyAlignment="1" applyFont="1" applyNumberFormat="1">
      <alignment horizontal="center" vertical="bottom"/>
    </xf>
    <xf borderId="19" fillId="4" fontId="4" numFmtId="10" xfId="0" applyAlignment="1" applyBorder="1" applyFont="1" applyNumberFormat="1">
      <alignment horizontal="center" vertical="bottom"/>
    </xf>
    <xf borderId="111" fillId="4" fontId="36" numFmtId="0" xfId="0" applyAlignment="1" applyBorder="1" applyFont="1">
      <alignment horizontal="center" vertical="bottom"/>
    </xf>
    <xf borderId="112" fillId="4" fontId="36" numFmtId="0" xfId="0" applyAlignment="1" applyBorder="1" applyFont="1">
      <alignment horizontal="center" vertical="bottom"/>
    </xf>
    <xf borderId="0" fillId="5" fontId="30" numFmtId="0" xfId="0" applyAlignment="1" applyFont="1">
      <alignment horizontal="center" vertical="center"/>
    </xf>
    <xf borderId="0" fillId="5" fontId="30" numFmtId="164" xfId="0" applyFont="1" applyNumberFormat="1"/>
    <xf borderId="18" fillId="5" fontId="30" numFmtId="164" xfId="0" applyAlignment="1" applyBorder="1" applyFont="1" applyNumberFormat="1">
      <alignment horizontal="center"/>
    </xf>
    <xf borderId="0" fillId="5" fontId="30" numFmtId="0" xfId="0" applyAlignment="1" applyFont="1">
      <alignment horizontal="center"/>
    </xf>
    <xf borderId="0" fillId="5" fontId="30" numFmtId="164" xfId="0" applyAlignment="1" applyFont="1" applyNumberFormat="1">
      <alignment horizontal="center"/>
    </xf>
    <xf borderId="19" fillId="5" fontId="30" numFmtId="165" xfId="0" applyAlignment="1" applyBorder="1" applyFont="1" applyNumberFormat="1">
      <alignment horizontal="center"/>
    </xf>
    <xf borderId="18" fillId="5" fontId="31" numFmtId="0" xfId="0" applyBorder="1" applyFont="1"/>
    <xf borderId="19" fillId="5" fontId="31" numFmtId="0" xfId="0" applyBorder="1" applyFont="1"/>
    <xf borderId="116" fillId="5" fontId="31" numFmtId="0" xfId="0" applyBorder="1" applyFont="1"/>
    <xf borderId="34" fillId="5" fontId="31" numFmtId="0" xfId="0" applyBorder="1" applyFont="1"/>
    <xf borderId="35" fillId="5" fontId="31" numFmtId="0" xfId="0" applyBorder="1" applyFont="1"/>
    <xf borderId="0" fillId="4" fontId="48" numFmtId="0" xfId="0" applyFont="1"/>
    <xf borderId="0" fillId="0" fontId="48" numFmtId="0" xfId="0" applyFont="1"/>
    <xf borderId="127" fillId="4" fontId="32" numFmtId="164" xfId="0" applyBorder="1" applyFont="1" applyNumberFormat="1"/>
    <xf borderId="127" fillId="4" fontId="37" numFmtId="164" xfId="0" applyBorder="1" applyFont="1" applyNumberFormat="1"/>
    <xf borderId="127" fillId="5" fontId="37" numFmtId="164" xfId="0" applyBorder="1" applyFont="1" applyNumberFormat="1"/>
    <xf borderId="128" fillId="5" fontId="31" numFmtId="0" xfId="0" applyAlignment="1" applyBorder="1" applyFont="1">
      <alignment horizontal="center"/>
    </xf>
    <xf borderId="128" fillId="5" fontId="37" numFmtId="164" xfId="0" applyBorder="1" applyFont="1" applyNumberFormat="1"/>
    <xf borderId="128" fillId="5" fontId="32" numFmtId="164" xfId="0" applyAlignment="1" applyBorder="1" applyFont="1" applyNumberFormat="1">
      <alignment horizontal="center"/>
    </xf>
    <xf borderId="145" fillId="5" fontId="30" numFmtId="0" xfId="0" applyBorder="1" applyFont="1"/>
    <xf borderId="146" fillId="5" fontId="37" numFmtId="0" xfId="0" applyAlignment="1" applyBorder="1" applyFont="1">
      <alignment horizontal="center"/>
    </xf>
    <xf borderId="146" fillId="5" fontId="37" numFmtId="164" xfId="0" applyBorder="1" applyFont="1" applyNumberFormat="1"/>
    <xf borderId="147" fillId="5" fontId="37" numFmtId="164" xfId="0" applyBorder="1" applyFont="1" applyNumberFormat="1"/>
    <xf borderId="0" fillId="0" fontId="49" numFmtId="0" xfId="0" applyFont="1"/>
    <xf borderId="126" fillId="0" fontId="31" numFmtId="0" xfId="0" applyBorder="1" applyFont="1"/>
    <xf borderId="126" fillId="4" fontId="50" numFmtId="164" xfId="0" applyBorder="1" applyFont="1" applyNumberFormat="1"/>
    <xf borderId="127" fillId="5" fontId="50" numFmtId="0" xfId="0" applyBorder="1" applyFont="1"/>
    <xf borderId="127" fillId="5" fontId="50" numFmtId="164" xfId="0" applyBorder="1" applyFont="1" applyNumberFormat="1"/>
    <xf borderId="127" fillId="0" fontId="51" numFmtId="0" xfId="0" applyAlignment="1" applyBorder="1" applyFont="1">
      <alignment horizontal="center"/>
    </xf>
    <xf borderId="127" fillId="0" fontId="52" numFmtId="0" xfId="0" applyBorder="1" applyFont="1"/>
    <xf borderId="127" fillId="0" fontId="52" numFmtId="164" xfId="0" applyBorder="1" applyFont="1" applyNumberFormat="1"/>
    <xf borderId="127" fillId="4" fontId="50" numFmtId="164" xfId="0" applyBorder="1" applyFont="1" applyNumberFormat="1"/>
    <xf borderId="127" fillId="5" fontId="51" numFmtId="0" xfId="0" applyAlignment="1" applyBorder="1" applyFont="1">
      <alignment horizontal="center"/>
    </xf>
    <xf borderId="127" fillId="5" fontId="52" numFmtId="0" xfId="0" applyBorder="1" applyFont="1"/>
    <xf borderId="127" fillId="5" fontId="52" numFmtId="164" xfId="0" applyBorder="1" applyFont="1" applyNumberFormat="1"/>
    <xf borderId="0" fillId="0" fontId="48" numFmtId="0" xfId="0" applyAlignment="1" applyFon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26A69A"/>
          <bgColor rgb="FF26A69A"/>
        </patternFill>
      </fill>
      <border/>
    </dxf>
    <dxf>
      <border>
        <left style="thin">
          <color rgb="FF26A69A"/>
        </left>
        <right style="thin">
          <color rgb="FF26A69A"/>
        </right>
        <top style="thin">
          <color rgb="FF26A69A"/>
        </top>
        <bottom style="thin">
          <color rgb="FF26A69A"/>
        </bottom>
      </border>
    </dxf>
  </dxfs>
  <tableStyles count="22">
    <tableStyle count="2" pivot="0" name="META-style">
      <tableStyleElement dxfId="1" type="firstRowStripe"/>
      <tableStyleElement dxfId="2" type="secondRowStripe"/>
    </tableStyle>
    <tableStyle count="2" pivot="0" name="BASE-style">
      <tableStyleElement dxfId="1" type="firstRowStripe"/>
      <tableStyleElement dxfId="2" type="secondRowStripe"/>
    </tableStyle>
    <tableStyle count="2" pivot="0" name="META-style 2">
      <tableStyleElement dxfId="1" type="firstRowStripe"/>
      <tableStyleElement dxfId="3" type="secondRowStripe"/>
    </tableStyle>
    <tableStyle count="2" pivot="0" name="BASE-style 2">
      <tableStyleElement dxfId="1" type="firstRowStripe"/>
      <tableStyleElement dxfId="3" type="secondRowStripe"/>
    </tableStyle>
    <tableStyle count="2" pivot="0" name="META-style 3">
      <tableStyleElement dxfId="1" type="firstRowStripe"/>
      <tableStyleElement dxfId="2" type="secondRowStripe"/>
    </tableStyle>
    <tableStyle count="2" pivot="0" name="META-style 4">
      <tableStyleElement dxfId="1" type="firstRowStripe"/>
      <tableStyleElement dxfId="3" type="secondRowStripe"/>
    </tableStyle>
    <tableStyle count="2" pivot="0" name="META-style 5">
      <tableStyleElement dxfId="1" type="firstRowStripe"/>
      <tableStyleElement dxfId="2" type="secondRowStripe"/>
    </tableStyle>
    <tableStyle count="2" pivot="0" name="META-style 6">
      <tableStyleElement dxfId="1" type="firstRowStripe"/>
      <tableStyleElement dxfId="3" type="secondRowStripe"/>
    </tableStyle>
    <tableStyle count="2" pivot="0" name="META-style 7">
      <tableStyleElement dxfId="1" type="firstRowStripe"/>
      <tableStyleElement dxfId="2" type="secondRowStripe"/>
    </tableStyle>
    <tableStyle count="2" pivot="0" name="META-style 8">
      <tableStyleElement dxfId="1" type="firstRowStripe"/>
      <tableStyleElement dxfId="3" type="secondRowStripe"/>
    </tableStyle>
    <tableStyle count="2" pivot="0" name="META-style 9">
      <tableStyleElement dxfId="1" type="firstRowStripe"/>
      <tableStyleElement dxfId="2" type="secondRowStripe"/>
    </tableStyle>
    <tableStyle count="2" pivot="0" name="META-style 10">
      <tableStyleElement dxfId="1" type="firstRowStripe"/>
      <tableStyleElement dxfId="3" type="secondRowStripe"/>
    </tableStyle>
    <tableStyle count="2" pivot="0" name="META-style 11">
      <tableStyleElement dxfId="1" type="firstRowStripe"/>
      <tableStyleElement dxfId="2" type="secondRowStripe"/>
    </tableStyle>
    <tableStyle count="2" pivot="0" name="META-style 12">
      <tableStyleElement dxfId="3" type="firstRowStripe"/>
      <tableStyleElement dxfId="1" type="secondRowStripe"/>
    </tableStyle>
    <tableStyle count="4" pivot="0" name="CONTROLE-style">
      <tableStyleElement dxfId="4" type="headerRow"/>
      <tableStyleElement dxfId="1" type="firstRowStripe"/>
      <tableStyleElement dxfId="3" type="secondRowStripe"/>
      <tableStyleElement dxfId="5" size="0" type="wholeTable"/>
    </tableStyle>
    <tableStyle count="4" pivot="0" name="CONTROLE-style 2">
      <tableStyleElement dxfId="4" type="headerRow"/>
      <tableStyleElement dxfId="1" type="firstRowStripe"/>
      <tableStyleElement dxfId="3" type="secondRowStripe"/>
      <tableStyleElement dxfId="5" size="0" type="wholeTable"/>
    </tableStyle>
    <tableStyle count="2" pivot="0" name="CONTROLE-style 3">
      <tableStyleElement dxfId="1" type="firstRowStripe"/>
      <tableStyleElement dxfId="3" type="secondRowStripe"/>
    </tableStyle>
    <tableStyle count="2" pivot="0" name="CONTROLE-style 4">
      <tableStyleElement dxfId="1" type="firstRowStripe"/>
      <tableStyleElement dxfId="3" type="secondRowStripe"/>
    </tableStyle>
    <tableStyle count="4" pivot="0" name="CONTROLE-style 5">
      <tableStyleElement dxfId="4" type="headerRow"/>
      <tableStyleElement dxfId="1" type="firstRowStripe"/>
      <tableStyleElement dxfId="3" type="secondRowStripe"/>
      <tableStyleElement dxfId="5" size="0" type="wholeTable"/>
    </tableStyle>
    <tableStyle count="4" pivot="0" name="CONTROLE-style 6">
      <tableStyleElement dxfId="4" type="headerRow"/>
      <tableStyleElement dxfId="1" type="firstRowStripe"/>
      <tableStyleElement dxfId="3" type="secondRowStripe"/>
      <tableStyleElement dxfId="5" size="0" type="wholeTable"/>
    </tableStyle>
    <tableStyle count="4" pivot="0" name="CONTROLE-style 7">
      <tableStyleElement dxfId="4" type="headerRow"/>
      <tableStyleElement dxfId="1" type="firstRowStripe"/>
      <tableStyleElement dxfId="3" type="secondRowStripe"/>
      <tableStyleElement dxfId="5" size="0" type="wholeTable"/>
    </tableStyle>
    <tableStyle count="2" pivot="0" name="CAMILA-style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D13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BASE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6" displayName="Table_1" name="Table_1" id="1">
  <tableColumns count="1">
    <tableColumn name="Column1" id="1"/>
  </tableColumns>
  <tableStyleInfo name="META-style" showColumnStripes="0" showFirstColumn="1" showLastColumn="1" showRowStripes="1"/>
</table>
</file>

<file path=xl/tables/table4.xml><?xml version="1.0" encoding="utf-8"?>
<table xmlns="http://schemas.openxmlformats.org/spreadsheetml/2006/main" headerRowCount="0" ref="H35:Q39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META-style 2" showColumnStripes="0" showFirstColumn="1" showLastColumn="1" showRowStripes="1"/>
</table>
</file>

<file path=xl/tables/table5.xml><?xml version="1.0" encoding="utf-8"?>
<table xmlns="http://schemas.openxmlformats.org/spreadsheetml/2006/main" headerRowCount="0" ref="E37" displayName="Table_6" name="Table_6" id="4">
  <tableColumns count="1">
    <tableColumn name="Column1" id="1"/>
  </tableColumns>
  <tableStyleInfo name="META-style 3" showColumnStripes="0" showFirstColumn="1" showLastColumn="1" showRowStripes="1"/>
</table>
</file>

<file path=xl/tables/table6.xml><?xml version="1.0" encoding="utf-8"?>
<table xmlns="http://schemas.openxmlformats.org/spreadsheetml/2006/main" headerRowCount="0" ref="H45:M49" displayName="Table_7" name="Table_7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 4" showColumnStripes="0" showFirstColumn="1" showLastColumn="1" showRowStripes="1"/>
</table>
</file>

<file path=xl/tables/table7.xml><?xml version="1.0" encoding="utf-8"?>
<table xmlns="http://schemas.openxmlformats.org/spreadsheetml/2006/main" headerRowCount="0" ref="E47" displayName="Table_8" name="Table_8" id="7">
  <tableColumns count="1">
    <tableColumn name="Column1" id="1"/>
  </tableColumns>
  <tableStyleInfo name="META-style 5" showColumnStripes="0" showFirstColumn="1" showLastColumn="1" showRowStripes="1"/>
</table>
</file>

<file path=xl/tables/table8.xml><?xml version="1.0" encoding="utf-8"?>
<table xmlns="http://schemas.openxmlformats.org/spreadsheetml/2006/main" headerRowCount="0" ref="H55:M60" displayName="Table_9" name="Table_9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 6" showColumnStripes="0" showFirstColumn="1" showLastColumn="1" showRowStripes="1"/>
</table>
</file>

<file path=xl/tables/table9.xml><?xml version="1.0" encoding="utf-8"?>
<table xmlns="http://schemas.openxmlformats.org/spreadsheetml/2006/main" headerRowCount="0" ref="E57" displayName="Table_11" name="Table_11" id="9">
  <tableColumns count="1">
    <tableColumn name="Column1" id="1"/>
  </tableColumns>
  <tableStyleInfo name="META-style 7" showColumnStripes="0" showFirstColumn="1" showLastColumn="1" showRowStripes="1"/>
</table>
</file>

<file path=xl/tables/table10.xml><?xml version="1.0" encoding="utf-8"?>
<table xmlns="http://schemas.openxmlformats.org/spreadsheetml/2006/main" headerRowCount="0" ref="H65:M69" displayName="Table_12" name="Table_12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 8" showColumnStripes="0" showFirstColumn="1" showLastColumn="1" showRowStripes="1"/>
</table>
</file>

<file path=xl/tables/table11.xml><?xml version="1.0" encoding="utf-8"?>
<table xmlns="http://schemas.openxmlformats.org/spreadsheetml/2006/main" headerRowCount="0" ref="E67" displayName="Table_13" name="Table_13" id="11">
  <tableColumns count="1">
    <tableColumn name="Column1" id="1"/>
  </tableColumns>
  <tableStyleInfo name="META-style 9" showColumnStripes="0" showFirstColumn="1" showLastColumn="1" showRowStripes="1"/>
</table>
</file>

<file path=xl/tables/table12.xml><?xml version="1.0" encoding="utf-8"?>
<table xmlns="http://schemas.openxmlformats.org/spreadsheetml/2006/main" headerRowCount="0" ref="H75:M75" displayName="Table_14" name="Table_14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E76" displayName="Table_15" name="Table_15" id="13">
  <tableColumns count="1">
    <tableColumn name="Column1" id="1"/>
  </tableColumns>
  <tableStyleInfo name="META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H76:M78" displayName="Table_16" name="Table_16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TA-style 12" showColumnStripes="0" showFirstColumn="1" showLastColumn="1" showRowStripes="1"/>
</table>
</file>

<file path=xl/tables/table15.xml><?xml version="1.0" encoding="utf-8"?>
<table xmlns="http://schemas.openxmlformats.org/spreadsheetml/2006/main" ref="A3:M12" displayName="Table_4" name="Table_4" id="15">
  <tableColumns count="13">
    <tableColumn name="Nome" id="1"/>
    <tableColumn name="Loja" id="2"/>
    <tableColumn name="tipo" id="3"/>
    <tableColumn name="Premiação Loja" id="4"/>
    <tableColumn name="Comissão Pacote" id="5"/>
    <tableColumn name="Comissão Produção" id="6"/>
    <tableColumn name="Assiduidade" id="7"/>
    <tableColumn name="Total pago" id="8"/>
    <tableColumn name="Quant. pacotes vendidos" id="9"/>
    <tableColumn name="Valor pg pacote vendido" id="10"/>
    <tableColumn name="Premiação p/ pç extra R$" id="11"/>
    <tableColumn name="Peça Passadas" id="12"/>
    <tableColumn name="Extra" id="13"/>
  </tableColumns>
  <tableStyleInfo name="CONTROLE-style" showColumnStripes="0" showFirstColumn="1" showLastColumn="1" showRowStripes="1"/>
</table>
</file>

<file path=xl/tables/table16.xml><?xml version="1.0" encoding="utf-8"?>
<table xmlns="http://schemas.openxmlformats.org/spreadsheetml/2006/main" ref="A16:M25" displayName="Table_10" name="Table_10" id="16">
  <tableColumns count="13">
    <tableColumn name="Nome" id="1"/>
    <tableColumn name="Loja" id="2"/>
    <tableColumn name="tipo" id="3"/>
    <tableColumn name="Premiação Loja" id="4"/>
    <tableColumn name="Comissão Pacote" id="5"/>
    <tableColumn name="Comissão Produção" id="6"/>
    <tableColumn name="Assiduidade" id="7"/>
    <tableColumn name="Total pago" id="8"/>
    <tableColumn name="Quant. pacotes vendidos" id="9"/>
    <tableColumn name="Valor pg pacote vendido" id="10"/>
    <tableColumn name="Premiação p/ pç extra R$" id="11"/>
    <tableColumn name="Peça Passadas" id="12"/>
    <tableColumn name="Extra" id="13"/>
  </tableColumns>
  <tableStyleInfo name="CONTROLE-style 2" showColumnStripes="0" showFirstColumn="1" showLastColumn="1" showRowStripes="1"/>
</table>
</file>

<file path=xl/tables/table17.xml><?xml version="1.0" encoding="utf-8"?>
<table xmlns="http://schemas.openxmlformats.org/spreadsheetml/2006/main" headerRowCount="0" ref="A29:N39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NTROLE-style 3" showColumnStripes="0" showFirstColumn="1" showLastColumn="1" showRowStripes="1"/>
</table>
</file>

<file path=xl/tables/table18.xml><?xml version="1.0" encoding="utf-8"?>
<table xmlns="http://schemas.openxmlformats.org/spreadsheetml/2006/main" headerRowCount="0" ref="A44:N5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ONTROLE-style 4" showColumnStripes="0" showFirstColumn="1" showLastColumn="1" showRowStripes="1"/>
</table>
</file>

<file path=xl/tables/table19.xml><?xml version="1.0" encoding="utf-8"?>
<table xmlns="http://schemas.openxmlformats.org/spreadsheetml/2006/main" ref="A60:M72" displayName="Table_19" name="Table_19" id="19">
  <tableColumns count="13">
    <tableColumn name="Nome" id="1"/>
    <tableColumn name="Loja" id="2"/>
    <tableColumn name="tipo" id="3"/>
    <tableColumn name="Premiação Loja" id="4"/>
    <tableColumn name="Comissão Pacote" id="5"/>
    <tableColumn name="Comissão Produção" id="6"/>
    <tableColumn name="Assiduidade" id="7"/>
    <tableColumn name="Total pago" id="8"/>
    <tableColumn name="Quantidade de pacotes vendidos" id="9"/>
    <tableColumn name="Valor pago por pacote vendido" id="10"/>
    <tableColumn name="Premiação por peças extra R$" id="11"/>
    <tableColumn name="Peça Passadas" id="12"/>
    <tableColumn name="Extra" id="13"/>
  </tableColumns>
  <tableStyleInfo name="CONTROLE-style 5" showColumnStripes="0" showFirstColumn="1" showLastColumn="1" showRowStripes="1"/>
</table>
</file>

<file path=xl/tables/table20.xml><?xml version="1.0" encoding="utf-8"?>
<table xmlns="http://schemas.openxmlformats.org/spreadsheetml/2006/main" ref="A76:M88" displayName="Table_20" name="Table_20" id="20">
  <tableColumns count="13">
    <tableColumn name="Nome" id="1"/>
    <tableColumn name="Loja" id="2"/>
    <tableColumn name="tipo" id="3"/>
    <tableColumn name="Premiação Loja" id="4"/>
    <tableColumn name="Comissão Pacote (R$)" id="5"/>
    <tableColumn name="Comissão Produção" id="6"/>
    <tableColumn name="Assiduidade" id="7"/>
    <tableColumn name="Total pago" id="8"/>
    <tableColumn name="Quantidade de pacotes vendidos" id="9"/>
    <tableColumn name="Valor pago por pacote vendido" id="10"/>
    <tableColumn name="Premiação por peças extra R$" id="11"/>
    <tableColumn name="Peça Passadas" id="12"/>
    <tableColumn name="Extra" id="13"/>
  </tableColumns>
  <tableStyleInfo name="CONTROLE-style 6" showColumnStripes="0" showFirstColumn="1" showLastColumn="1" showRowStripes="1"/>
</table>
</file>

<file path=xl/tables/table21.xml><?xml version="1.0" encoding="utf-8"?>
<table xmlns="http://schemas.openxmlformats.org/spreadsheetml/2006/main" ref="A92:M104" displayName="Table_21" name="Table_21" id="21">
  <tableColumns count="13">
    <tableColumn name="Nome" id="1"/>
    <tableColumn name="Loja" id="2"/>
    <tableColumn name="tipo" id="3"/>
    <tableColumn name="Premiação Loja" id="4"/>
    <tableColumn name="Comissão Pacote (R$)" id="5"/>
    <tableColumn name="Comissão Produção" id="6"/>
    <tableColumn name="Assiduidade" id="7"/>
    <tableColumn name="Total pago" id="8"/>
    <tableColumn name="Quantidade de pacotes vendidos" id="9"/>
    <tableColumn name="Valor pago por pacote vendido" id="10"/>
    <tableColumn name="Premiação por peças extra R$" id="11"/>
    <tableColumn name="Peça Passadas" id="12"/>
    <tableColumn name="Extra" id="13"/>
  </tableColumns>
  <tableStyleInfo name="CONTROLE-style 7" showColumnStripes="0" showFirstColumn="1" showLastColumn="1" showRowStripes="1"/>
</table>
</file>

<file path=xl/tables/table22.xml><?xml version="1.0" encoding="utf-8"?>
<table xmlns="http://schemas.openxmlformats.org/spreadsheetml/2006/main" headerRowCount="0" ref="A5:S5" displayName="Table_22" name="Table_22" id="2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CAMI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Rfvuk1uh8e0lGfSn2d-39YRTEQl_WlZ0" TargetMode="External"/><Relationship Id="rId3" Type="http://schemas.openxmlformats.org/officeDocument/2006/relationships/hyperlink" Target="https://drive.google.com/drive/folders/1Rfvuk1uh8e0lGfSn2d-39YRTEQl_WlZ0" TargetMode="External"/><Relationship Id="rId4" Type="http://schemas.openxmlformats.org/officeDocument/2006/relationships/drawing" Target="../drawings/drawing2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28" Type="http://schemas.openxmlformats.org/officeDocument/2006/relationships/table" Target="../tables/table13.xml"/><Relationship Id="rId27" Type="http://schemas.openxmlformats.org/officeDocument/2006/relationships/table" Target="../tables/table12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7.xml"/><Relationship Id="rId10" Type="http://schemas.openxmlformats.org/officeDocument/2006/relationships/table" Target="../tables/table16.xml"/><Relationship Id="rId13" Type="http://schemas.openxmlformats.org/officeDocument/2006/relationships/table" Target="../tables/table19.xml"/><Relationship Id="rId12" Type="http://schemas.openxmlformats.org/officeDocument/2006/relationships/table" Target="../tables/table18.xml"/><Relationship Id="rId1" Type="http://schemas.openxmlformats.org/officeDocument/2006/relationships/drawing" Target="../drawings/drawing4.xml"/><Relationship Id="rId9" Type="http://schemas.openxmlformats.org/officeDocument/2006/relationships/table" Target="../tables/table15.xml"/><Relationship Id="rId15" Type="http://schemas.openxmlformats.org/officeDocument/2006/relationships/table" Target="../tables/table21.xml"/><Relationship Id="rId14" Type="http://schemas.openxmlformats.org/officeDocument/2006/relationships/table" Target="../tables/table2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0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1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6" width="12.63"/>
  </cols>
  <sheetData>
    <row r="1" ht="15.75" customHeight="1">
      <c r="A1" s="4" t="s">
        <v>6</v>
      </c>
      <c r="B1" s="4" t="s">
        <v>9</v>
      </c>
      <c r="C1" s="4" t="s">
        <v>13</v>
      </c>
      <c r="D1" s="4" t="s">
        <v>15</v>
      </c>
      <c r="E1" s="7"/>
      <c r="F1" s="7"/>
    </row>
    <row r="2" ht="15.75" customHeight="1">
      <c r="A2" s="9" t="s">
        <v>17</v>
      </c>
      <c r="B2" s="12" t="s">
        <v>19</v>
      </c>
      <c r="C2" s="15" t="s">
        <v>21</v>
      </c>
      <c r="D2" s="12" t="s">
        <v>23</v>
      </c>
      <c r="E2" s="7"/>
      <c r="F2" s="7"/>
    </row>
    <row r="3" ht="15.75" customHeight="1">
      <c r="A3" s="12" t="s">
        <v>24</v>
      </c>
      <c r="B3" s="12" t="s">
        <v>25</v>
      </c>
      <c r="C3" s="15" t="s">
        <v>21</v>
      </c>
      <c r="D3" s="12" t="s">
        <v>23</v>
      </c>
      <c r="E3" s="7"/>
      <c r="F3" s="7"/>
    </row>
    <row r="4" ht="15.75" customHeight="1">
      <c r="A4" s="12" t="s">
        <v>28</v>
      </c>
      <c r="B4" s="12" t="s">
        <v>29</v>
      </c>
      <c r="C4" s="15" t="s">
        <v>21</v>
      </c>
      <c r="D4" s="12" t="s">
        <v>30</v>
      </c>
      <c r="E4" s="7"/>
      <c r="F4" s="7"/>
    </row>
    <row r="5" ht="15.75" customHeight="1">
      <c r="A5" s="15" t="s">
        <v>31</v>
      </c>
      <c r="B5" s="15" t="s">
        <v>29</v>
      </c>
      <c r="C5" s="15" t="s">
        <v>21</v>
      </c>
      <c r="D5" s="12" t="s">
        <v>30</v>
      </c>
      <c r="E5" s="7"/>
      <c r="F5" s="7"/>
    </row>
    <row r="6" ht="15.75" customHeight="1">
      <c r="A6" s="12" t="s">
        <v>32</v>
      </c>
      <c r="B6" s="12" t="s">
        <v>33</v>
      </c>
      <c r="C6" s="15" t="s">
        <v>21</v>
      </c>
      <c r="D6" s="12"/>
      <c r="E6" s="7"/>
      <c r="F6" s="7"/>
    </row>
    <row r="7" ht="15.75" customHeight="1">
      <c r="A7" s="12" t="s">
        <v>35</v>
      </c>
      <c r="B7" s="12" t="s">
        <v>19</v>
      </c>
      <c r="C7" s="15" t="s">
        <v>1</v>
      </c>
      <c r="D7" s="12" t="s">
        <v>23</v>
      </c>
      <c r="E7" s="7"/>
      <c r="F7" s="7"/>
    </row>
    <row r="8" ht="15.75" customHeight="1">
      <c r="A8" s="12" t="s">
        <v>37</v>
      </c>
      <c r="B8" s="12" t="s">
        <v>19</v>
      </c>
      <c r="C8" s="15" t="s">
        <v>1</v>
      </c>
      <c r="D8" s="12" t="s">
        <v>23</v>
      </c>
      <c r="E8" s="7"/>
      <c r="F8" s="7"/>
    </row>
    <row r="9" ht="15.75" customHeight="1">
      <c r="A9" s="12" t="s">
        <v>39</v>
      </c>
      <c r="B9" s="12" t="s">
        <v>19</v>
      </c>
      <c r="C9" s="15" t="s">
        <v>1</v>
      </c>
      <c r="D9" s="12" t="s">
        <v>23</v>
      </c>
      <c r="E9" s="7"/>
      <c r="F9" s="7"/>
    </row>
    <row r="10" ht="15.75" customHeight="1">
      <c r="A10" s="12" t="s">
        <v>40</v>
      </c>
      <c r="B10" s="12" t="s">
        <v>19</v>
      </c>
      <c r="C10" s="15" t="s">
        <v>1</v>
      </c>
      <c r="D10" s="12" t="s">
        <v>23</v>
      </c>
      <c r="E10" s="7"/>
      <c r="F10" s="7"/>
    </row>
    <row r="11" ht="15.75" customHeight="1">
      <c r="A11" s="12" t="s">
        <v>41</v>
      </c>
      <c r="B11" s="12" t="s">
        <v>19</v>
      </c>
      <c r="C11" s="15" t="s">
        <v>1</v>
      </c>
      <c r="D11" s="12" t="s">
        <v>23</v>
      </c>
      <c r="E11" s="7"/>
      <c r="F11" s="7"/>
    </row>
    <row r="12" ht="15.75" customHeight="1">
      <c r="A12" s="32"/>
      <c r="B12" s="32"/>
      <c r="C12" s="32"/>
      <c r="D12" s="12"/>
      <c r="E12" s="7"/>
      <c r="F12" s="7"/>
    </row>
    <row r="13" ht="15.75" customHeight="1">
      <c r="A13" s="12" t="s">
        <v>45</v>
      </c>
      <c r="B13" s="12" t="s">
        <v>46</v>
      </c>
      <c r="C13" s="15"/>
      <c r="D13" s="12"/>
      <c r="E13" s="7"/>
      <c r="F13" s="7"/>
    </row>
    <row r="14" ht="15.75" customHeight="1">
      <c r="A14" s="7"/>
      <c r="B14" s="7"/>
      <c r="C14" s="36"/>
      <c r="D14" s="7"/>
      <c r="E14" s="7"/>
      <c r="F14" s="7"/>
    </row>
    <row r="15" ht="15.75" customHeight="1">
      <c r="A15" s="7"/>
      <c r="B15" s="7"/>
      <c r="C15" s="36"/>
      <c r="D15" s="7"/>
      <c r="E15" s="7"/>
      <c r="F15" s="7"/>
    </row>
    <row r="16" ht="15.75" customHeight="1">
      <c r="A16" s="7"/>
      <c r="B16" s="7"/>
      <c r="C16" s="36"/>
      <c r="D16" s="7"/>
      <c r="E16" s="7"/>
      <c r="F16" s="7"/>
    </row>
    <row r="17" ht="15.75" customHeight="1">
      <c r="A17" s="7"/>
      <c r="B17" s="7"/>
      <c r="C17" s="36"/>
      <c r="D17" s="7"/>
      <c r="E17" s="7"/>
      <c r="F17" s="7"/>
    </row>
    <row r="18" ht="15.75" customHeight="1">
      <c r="A18" s="7"/>
      <c r="B18" s="7"/>
      <c r="C18" s="36"/>
      <c r="D18" s="7"/>
      <c r="E18" s="7"/>
      <c r="F18" s="7"/>
    </row>
    <row r="19" ht="15.75" customHeight="1">
      <c r="A19" s="7"/>
      <c r="B19" s="7"/>
      <c r="C19" s="36"/>
      <c r="D19" s="7"/>
      <c r="E19" s="7"/>
      <c r="F19" s="7"/>
    </row>
    <row r="20" ht="15.75" customHeight="1">
      <c r="A20" s="7"/>
      <c r="B20" s="7"/>
      <c r="C20" s="36"/>
      <c r="D20" s="7"/>
      <c r="E20" s="7"/>
      <c r="F20" s="7"/>
    </row>
    <row r="21" ht="15.75" customHeight="1">
      <c r="A21" s="7"/>
      <c r="B21" s="7"/>
      <c r="C21" s="36"/>
      <c r="D21" s="7"/>
      <c r="E21" s="7"/>
      <c r="F21" s="7"/>
    </row>
    <row r="22" ht="15.75" customHeight="1">
      <c r="A22" s="7"/>
      <c r="B22" s="7"/>
      <c r="C22" s="36"/>
      <c r="D22" s="7"/>
      <c r="E22" s="7"/>
      <c r="F22" s="7"/>
    </row>
    <row r="23" ht="15.75" customHeight="1">
      <c r="A23" s="7"/>
      <c r="B23" s="7"/>
      <c r="C23" s="36"/>
      <c r="D23" s="7"/>
      <c r="E23" s="7"/>
      <c r="F23" s="7"/>
    </row>
    <row r="24" ht="15.75" customHeight="1">
      <c r="A24" s="7"/>
      <c r="B24" s="7"/>
      <c r="C24" s="36"/>
      <c r="D24" s="7"/>
      <c r="E24" s="7"/>
      <c r="F24" s="7"/>
    </row>
    <row r="25" ht="15.75" customHeight="1">
      <c r="A25" s="7"/>
      <c r="B25" s="7"/>
      <c r="C25" s="36"/>
      <c r="D25" s="7"/>
      <c r="E25" s="7"/>
      <c r="F25" s="7"/>
    </row>
    <row r="26" ht="15.75" customHeight="1">
      <c r="A26" s="7"/>
      <c r="B26" s="7"/>
      <c r="C26" s="36"/>
      <c r="D26" s="7"/>
      <c r="E26" s="7"/>
      <c r="F26" s="7"/>
    </row>
    <row r="27" ht="15.75" customHeight="1">
      <c r="A27" s="7"/>
      <c r="B27" s="7"/>
      <c r="C27" s="36"/>
      <c r="D27" s="7"/>
      <c r="E27" s="7"/>
      <c r="F27" s="7"/>
    </row>
    <row r="28" ht="15.75" customHeight="1">
      <c r="A28" s="7"/>
      <c r="B28" s="7"/>
      <c r="C28" s="36"/>
      <c r="D28" s="7"/>
      <c r="E28" s="7"/>
      <c r="F28" s="7"/>
    </row>
    <row r="29" ht="15.75" customHeight="1">
      <c r="A29" s="7"/>
      <c r="B29" s="7"/>
      <c r="C29" s="36"/>
      <c r="D29" s="7"/>
      <c r="E29" s="7"/>
      <c r="F29" s="7"/>
    </row>
    <row r="30" ht="15.75" customHeight="1">
      <c r="A30" s="7"/>
      <c r="B30" s="7"/>
      <c r="C30" s="36"/>
      <c r="D30" s="7"/>
      <c r="E30" s="7"/>
      <c r="F30" s="7"/>
    </row>
    <row r="31" ht="15.75" customHeight="1">
      <c r="A31" s="7"/>
      <c r="B31" s="7"/>
      <c r="C31" s="36"/>
      <c r="D31" s="7"/>
      <c r="E31" s="7"/>
      <c r="F31" s="7"/>
    </row>
    <row r="32" ht="15.75" customHeight="1">
      <c r="A32" s="7"/>
      <c r="B32" s="7"/>
      <c r="C32" s="36"/>
      <c r="D32" s="7"/>
      <c r="E32" s="7"/>
      <c r="F32" s="7"/>
    </row>
    <row r="33" ht="15.75" customHeight="1">
      <c r="A33" s="7"/>
      <c r="B33" s="7"/>
      <c r="C33" s="36"/>
      <c r="D33" s="7"/>
      <c r="E33" s="7"/>
      <c r="F33" s="7"/>
    </row>
    <row r="34" ht="15.75" customHeight="1">
      <c r="A34" s="7"/>
      <c r="B34" s="7"/>
      <c r="C34" s="36"/>
      <c r="D34" s="7"/>
      <c r="E34" s="7"/>
      <c r="F34" s="7"/>
    </row>
    <row r="35" ht="15.75" customHeight="1">
      <c r="A35" s="7"/>
      <c r="B35" s="7"/>
      <c r="C35" s="36"/>
      <c r="D35" s="7"/>
      <c r="E35" s="7"/>
      <c r="F35" s="7"/>
    </row>
    <row r="36" ht="15.75" customHeight="1">
      <c r="A36" s="7"/>
      <c r="B36" s="7"/>
      <c r="C36" s="36"/>
      <c r="D36" s="7"/>
      <c r="E36" s="7"/>
      <c r="F36" s="7"/>
    </row>
    <row r="37" ht="15.75" customHeight="1">
      <c r="A37" s="7"/>
      <c r="B37" s="7"/>
      <c r="C37" s="36"/>
      <c r="D37" s="7"/>
      <c r="E37" s="7"/>
      <c r="F37" s="7"/>
    </row>
    <row r="38" ht="15.75" customHeight="1">
      <c r="A38" s="7"/>
      <c r="B38" s="7"/>
      <c r="C38" s="36"/>
      <c r="D38" s="7"/>
      <c r="E38" s="7"/>
      <c r="F38" s="7"/>
    </row>
    <row r="39" ht="15.75" customHeight="1">
      <c r="A39" s="7"/>
      <c r="B39" s="7"/>
      <c r="C39" s="36"/>
      <c r="D39" s="7"/>
      <c r="E39" s="7"/>
      <c r="F39" s="7"/>
    </row>
    <row r="40" ht="15.75" customHeight="1">
      <c r="A40" s="7"/>
      <c r="B40" s="7"/>
      <c r="C40" s="36"/>
      <c r="D40" s="7"/>
      <c r="E40" s="7"/>
      <c r="F40" s="7"/>
    </row>
    <row r="41" ht="15.75" customHeight="1">
      <c r="A41" s="7"/>
      <c r="B41" s="7"/>
      <c r="C41" s="36"/>
      <c r="D41" s="7"/>
      <c r="E41" s="7"/>
      <c r="F41" s="7"/>
    </row>
    <row r="42" ht="15.75" customHeight="1">
      <c r="A42" s="7"/>
      <c r="B42" s="7"/>
      <c r="C42" s="36"/>
      <c r="D42" s="7"/>
      <c r="E42" s="7"/>
      <c r="F42" s="7"/>
    </row>
    <row r="43" ht="15.75" customHeight="1">
      <c r="A43" s="7"/>
      <c r="B43" s="7"/>
      <c r="C43" s="36"/>
      <c r="D43" s="7"/>
      <c r="E43" s="7"/>
      <c r="F43" s="7"/>
    </row>
    <row r="44" ht="15.75" customHeight="1">
      <c r="A44" s="7"/>
      <c r="B44" s="7"/>
      <c r="C44" s="36"/>
      <c r="D44" s="7"/>
      <c r="E44" s="7"/>
      <c r="F44" s="7"/>
    </row>
    <row r="45" ht="15.75" customHeight="1">
      <c r="A45" s="7"/>
      <c r="B45" s="7"/>
      <c r="C45" s="36"/>
      <c r="D45" s="7"/>
      <c r="E45" s="7"/>
      <c r="F45" s="7"/>
    </row>
    <row r="46" ht="15.75" customHeight="1">
      <c r="A46" s="7"/>
      <c r="B46" s="7"/>
      <c r="C46" s="36"/>
      <c r="D46" s="7"/>
      <c r="E46" s="7"/>
      <c r="F46" s="7"/>
    </row>
    <row r="47" ht="15.75" customHeight="1">
      <c r="A47" s="7"/>
      <c r="B47" s="7"/>
      <c r="C47" s="36"/>
      <c r="D47" s="7"/>
      <c r="E47" s="7"/>
      <c r="F47" s="7"/>
    </row>
    <row r="48" ht="15.75" customHeight="1">
      <c r="A48" s="7"/>
      <c r="B48" s="7"/>
      <c r="C48" s="36"/>
      <c r="D48" s="7"/>
      <c r="E48" s="7"/>
      <c r="F48" s="7"/>
    </row>
    <row r="49" ht="15.75" customHeight="1">
      <c r="A49" s="7"/>
      <c r="B49" s="7"/>
      <c r="C49" s="36"/>
      <c r="D49" s="7"/>
      <c r="E49" s="7"/>
      <c r="F49" s="7"/>
    </row>
    <row r="50" ht="15.75" customHeight="1">
      <c r="A50" s="7"/>
      <c r="B50" s="7"/>
      <c r="C50" s="36"/>
      <c r="D50" s="7"/>
      <c r="E50" s="7"/>
      <c r="F50" s="7"/>
    </row>
    <row r="51" ht="15.75" customHeight="1">
      <c r="A51" s="7"/>
      <c r="B51" s="7"/>
      <c r="C51" s="36"/>
      <c r="D51" s="7"/>
      <c r="E51" s="7"/>
      <c r="F51" s="7"/>
    </row>
    <row r="52" ht="15.75" customHeight="1">
      <c r="A52" s="7"/>
      <c r="B52" s="7"/>
      <c r="C52" s="36"/>
      <c r="D52" s="7"/>
      <c r="E52" s="7"/>
      <c r="F52" s="7"/>
    </row>
    <row r="53" ht="15.75" customHeight="1">
      <c r="A53" s="7"/>
      <c r="B53" s="7"/>
      <c r="C53" s="36"/>
      <c r="D53" s="7"/>
      <c r="E53" s="7"/>
      <c r="F53" s="7"/>
    </row>
    <row r="54" ht="15.75" customHeight="1">
      <c r="A54" s="7"/>
      <c r="B54" s="7"/>
      <c r="C54" s="36"/>
      <c r="D54" s="7"/>
      <c r="E54" s="7"/>
      <c r="F54" s="7"/>
    </row>
    <row r="55" ht="15.75" customHeight="1">
      <c r="A55" s="7"/>
      <c r="B55" s="7"/>
      <c r="C55" s="36"/>
      <c r="D55" s="7"/>
      <c r="E55" s="7"/>
      <c r="F55" s="7"/>
    </row>
    <row r="56" ht="15.75" customHeight="1">
      <c r="A56" s="7"/>
      <c r="B56" s="7"/>
      <c r="C56" s="36"/>
      <c r="D56" s="7"/>
      <c r="E56" s="7"/>
      <c r="F56" s="7"/>
    </row>
    <row r="57" ht="15.75" customHeight="1">
      <c r="A57" s="7"/>
      <c r="B57" s="7"/>
      <c r="C57" s="36"/>
      <c r="D57" s="7"/>
      <c r="E57" s="7"/>
      <c r="F57" s="7"/>
    </row>
    <row r="58" ht="15.75" customHeight="1">
      <c r="A58" s="7"/>
      <c r="B58" s="7"/>
      <c r="C58" s="36"/>
      <c r="D58" s="7"/>
      <c r="E58" s="7"/>
      <c r="F58" s="7"/>
    </row>
    <row r="59" ht="15.75" customHeight="1">
      <c r="A59" s="7"/>
      <c r="B59" s="7"/>
      <c r="C59" s="36"/>
      <c r="D59" s="7"/>
      <c r="E59" s="7"/>
      <c r="F59" s="7"/>
    </row>
    <row r="60" ht="15.75" customHeight="1">
      <c r="A60" s="7"/>
      <c r="B60" s="7"/>
      <c r="C60" s="36"/>
      <c r="D60" s="7"/>
      <c r="E60" s="7"/>
      <c r="F60" s="7"/>
    </row>
    <row r="61" ht="15.75" customHeight="1">
      <c r="A61" s="7"/>
      <c r="B61" s="7"/>
      <c r="C61" s="36"/>
      <c r="D61" s="7"/>
      <c r="E61" s="7"/>
      <c r="F61" s="7"/>
    </row>
    <row r="62" ht="15.75" customHeight="1">
      <c r="A62" s="7"/>
      <c r="B62" s="7"/>
      <c r="C62" s="36"/>
      <c r="D62" s="7"/>
      <c r="E62" s="7"/>
      <c r="F62" s="7"/>
    </row>
    <row r="63" ht="15.75" customHeight="1">
      <c r="A63" s="7"/>
      <c r="B63" s="7"/>
      <c r="C63" s="36"/>
      <c r="D63" s="7"/>
      <c r="E63" s="7"/>
      <c r="F63" s="7"/>
    </row>
    <row r="64" ht="15.75" customHeight="1">
      <c r="A64" s="7"/>
      <c r="B64" s="7"/>
      <c r="C64" s="36"/>
      <c r="D64" s="7"/>
      <c r="E64" s="7"/>
      <c r="F64" s="7"/>
    </row>
    <row r="65" ht="15.75" customHeight="1">
      <c r="A65" s="7"/>
      <c r="B65" s="7"/>
      <c r="C65" s="36"/>
      <c r="D65" s="7"/>
      <c r="E65" s="7"/>
      <c r="F65" s="7"/>
    </row>
    <row r="66" ht="15.75" customHeight="1">
      <c r="A66" s="7"/>
      <c r="B66" s="7"/>
      <c r="C66" s="36"/>
      <c r="D66" s="7"/>
      <c r="E66" s="7"/>
      <c r="F66" s="7"/>
    </row>
    <row r="67" ht="15.75" customHeight="1">
      <c r="A67" s="7"/>
      <c r="B67" s="7"/>
      <c r="C67" s="36"/>
      <c r="D67" s="7"/>
      <c r="E67" s="7"/>
      <c r="F67" s="7"/>
    </row>
    <row r="68" ht="15.75" customHeight="1">
      <c r="A68" s="7"/>
      <c r="B68" s="7"/>
      <c r="C68" s="36"/>
      <c r="D68" s="7"/>
      <c r="E68" s="7"/>
      <c r="F68" s="7"/>
    </row>
    <row r="69" ht="15.75" customHeight="1">
      <c r="A69" s="7"/>
      <c r="B69" s="7"/>
      <c r="C69" s="36"/>
      <c r="D69" s="7"/>
      <c r="E69" s="7"/>
      <c r="F69" s="7"/>
    </row>
    <row r="70" ht="15.75" customHeight="1">
      <c r="A70" s="7"/>
      <c r="B70" s="7"/>
      <c r="C70" s="36"/>
      <c r="D70" s="7"/>
      <c r="E70" s="7"/>
      <c r="F70" s="7"/>
    </row>
    <row r="71" ht="15.75" customHeight="1">
      <c r="A71" s="7"/>
      <c r="B71" s="7"/>
      <c r="C71" s="36"/>
      <c r="D71" s="7"/>
      <c r="E71" s="7"/>
      <c r="F71" s="7"/>
    </row>
    <row r="72" ht="15.75" customHeight="1">
      <c r="A72" s="7"/>
      <c r="B72" s="7"/>
      <c r="C72" s="36"/>
      <c r="D72" s="7"/>
      <c r="E72" s="7"/>
      <c r="F72" s="7"/>
    </row>
    <row r="73" ht="15.75" customHeight="1">
      <c r="A73" s="7"/>
      <c r="B73" s="7"/>
      <c r="C73" s="36"/>
      <c r="D73" s="7"/>
      <c r="E73" s="7"/>
      <c r="F73" s="7"/>
    </row>
    <row r="74" ht="15.75" customHeight="1">
      <c r="A74" s="7"/>
      <c r="B74" s="7"/>
      <c r="C74" s="36"/>
      <c r="D74" s="7"/>
      <c r="E74" s="7"/>
      <c r="F74" s="7"/>
    </row>
    <row r="75" ht="15.75" customHeight="1">
      <c r="A75" s="7"/>
      <c r="B75" s="7"/>
      <c r="C75" s="36"/>
      <c r="D75" s="7"/>
      <c r="E75" s="7"/>
      <c r="F75" s="7"/>
    </row>
    <row r="76" ht="15.75" customHeight="1">
      <c r="A76" s="7"/>
      <c r="B76" s="7"/>
      <c r="C76" s="36"/>
      <c r="D76" s="7"/>
      <c r="E76" s="7"/>
      <c r="F76" s="7"/>
    </row>
    <row r="77" ht="15.75" customHeight="1">
      <c r="A77" s="7"/>
      <c r="B77" s="7"/>
      <c r="C77" s="36"/>
      <c r="D77" s="7"/>
      <c r="E77" s="7"/>
      <c r="F77" s="7"/>
    </row>
    <row r="78" ht="15.75" customHeight="1">
      <c r="A78" s="7"/>
      <c r="B78" s="7"/>
      <c r="C78" s="36"/>
      <c r="D78" s="7"/>
      <c r="E78" s="7"/>
      <c r="F78" s="7"/>
    </row>
    <row r="79" ht="15.75" customHeight="1">
      <c r="A79" s="7"/>
      <c r="B79" s="7"/>
      <c r="C79" s="36"/>
      <c r="D79" s="7"/>
      <c r="E79" s="7"/>
      <c r="F79" s="7"/>
    </row>
    <row r="80" ht="15.75" customHeight="1">
      <c r="A80" s="7"/>
      <c r="B80" s="7"/>
      <c r="C80" s="36"/>
      <c r="D80" s="7"/>
      <c r="E80" s="7"/>
      <c r="F80" s="7"/>
    </row>
    <row r="81" ht="15.75" customHeight="1">
      <c r="A81" s="7"/>
      <c r="B81" s="7"/>
      <c r="C81" s="36"/>
      <c r="D81" s="7"/>
      <c r="E81" s="7"/>
      <c r="F81" s="7"/>
    </row>
    <row r="82" ht="15.75" customHeight="1">
      <c r="A82" s="7"/>
      <c r="B82" s="7"/>
      <c r="C82" s="36"/>
      <c r="D82" s="7"/>
      <c r="E82" s="7"/>
      <c r="F82" s="7"/>
    </row>
    <row r="83" ht="15.75" customHeight="1">
      <c r="A83" s="7"/>
      <c r="B83" s="7"/>
      <c r="C83" s="36"/>
      <c r="D83" s="7"/>
      <c r="E83" s="7"/>
      <c r="F83" s="7"/>
    </row>
    <row r="84" ht="15.75" customHeight="1">
      <c r="A84" s="7"/>
      <c r="B84" s="7"/>
      <c r="C84" s="36"/>
      <c r="D84" s="7"/>
      <c r="E84" s="7"/>
      <c r="F84" s="7"/>
    </row>
    <row r="85" ht="15.75" customHeight="1">
      <c r="A85" s="7"/>
      <c r="B85" s="7"/>
      <c r="C85" s="36"/>
      <c r="D85" s="7"/>
      <c r="E85" s="7"/>
      <c r="F85" s="7"/>
    </row>
    <row r="86" ht="15.75" customHeight="1">
      <c r="A86" s="7"/>
      <c r="B86" s="7"/>
      <c r="C86" s="36"/>
      <c r="D86" s="7"/>
      <c r="E86" s="7"/>
      <c r="F86" s="7"/>
    </row>
    <row r="87" ht="15.75" customHeight="1">
      <c r="A87" s="7"/>
      <c r="B87" s="7"/>
      <c r="C87" s="36"/>
      <c r="D87" s="7"/>
      <c r="E87" s="7"/>
      <c r="F87" s="7"/>
    </row>
    <row r="88" ht="15.75" customHeight="1">
      <c r="A88" s="7"/>
      <c r="B88" s="7"/>
      <c r="C88" s="36"/>
      <c r="D88" s="7"/>
      <c r="E88" s="7"/>
      <c r="F88" s="7"/>
    </row>
    <row r="89" ht="15.75" customHeight="1">
      <c r="A89" s="7"/>
      <c r="B89" s="7"/>
      <c r="C89" s="36"/>
      <c r="D89" s="7"/>
      <c r="E89" s="7"/>
      <c r="F89" s="7"/>
    </row>
    <row r="90" ht="15.75" customHeight="1">
      <c r="A90" s="7"/>
      <c r="B90" s="7"/>
      <c r="C90" s="36"/>
      <c r="D90" s="7"/>
      <c r="E90" s="7"/>
      <c r="F90" s="7"/>
    </row>
    <row r="91" ht="15.75" customHeight="1">
      <c r="A91" s="7"/>
      <c r="B91" s="7"/>
      <c r="C91" s="36"/>
      <c r="D91" s="7"/>
      <c r="E91" s="7"/>
      <c r="F91" s="7"/>
    </row>
    <row r="92" ht="15.75" customHeight="1">
      <c r="A92" s="7"/>
      <c r="B92" s="7"/>
      <c r="C92" s="36"/>
      <c r="D92" s="7"/>
      <c r="E92" s="7"/>
      <c r="F92" s="7"/>
    </row>
    <row r="93" ht="15.75" customHeight="1">
      <c r="A93" s="7"/>
      <c r="B93" s="7"/>
      <c r="C93" s="36"/>
      <c r="D93" s="7"/>
      <c r="E93" s="7"/>
      <c r="F93" s="7"/>
    </row>
    <row r="94" ht="15.75" customHeight="1">
      <c r="A94" s="7"/>
      <c r="B94" s="7"/>
      <c r="C94" s="36"/>
      <c r="D94" s="7"/>
      <c r="E94" s="7"/>
      <c r="F94" s="7"/>
    </row>
    <row r="95" ht="15.75" customHeight="1">
      <c r="A95" s="7"/>
      <c r="B95" s="7"/>
      <c r="C95" s="36"/>
      <c r="D95" s="7"/>
      <c r="E95" s="7"/>
      <c r="F95" s="7"/>
    </row>
    <row r="96" ht="15.75" customHeight="1">
      <c r="A96" s="7"/>
      <c r="B96" s="7"/>
      <c r="C96" s="36"/>
      <c r="D96" s="7"/>
      <c r="E96" s="7"/>
      <c r="F96" s="7"/>
    </row>
    <row r="97" ht="15.75" customHeight="1">
      <c r="A97" s="7"/>
      <c r="B97" s="7"/>
      <c r="C97" s="36"/>
      <c r="D97" s="7"/>
      <c r="E97" s="7"/>
      <c r="F97" s="7"/>
    </row>
    <row r="98" ht="15.75" customHeight="1">
      <c r="A98" s="7"/>
      <c r="B98" s="7"/>
      <c r="C98" s="36"/>
      <c r="D98" s="7"/>
      <c r="E98" s="7"/>
      <c r="F98" s="7"/>
    </row>
    <row r="99" ht="15.75" customHeight="1">
      <c r="A99" s="7"/>
      <c r="B99" s="7"/>
      <c r="C99" s="36"/>
      <c r="D99" s="7"/>
      <c r="E99" s="7"/>
      <c r="F99" s="7"/>
    </row>
    <row r="100" ht="15.75" customHeight="1">
      <c r="A100" s="7"/>
      <c r="B100" s="7"/>
      <c r="C100" s="36"/>
      <c r="D100" s="7"/>
      <c r="E100" s="7"/>
      <c r="F100" s="7"/>
    </row>
    <row r="101" ht="15.75" customHeight="1">
      <c r="A101" s="7"/>
      <c r="B101" s="7"/>
      <c r="C101" s="36"/>
      <c r="D101" s="7"/>
      <c r="E101" s="7"/>
      <c r="F101" s="7"/>
    </row>
    <row r="102" ht="15.75" customHeight="1">
      <c r="A102" s="7"/>
      <c r="B102" s="7"/>
      <c r="C102" s="36"/>
      <c r="D102" s="7"/>
      <c r="E102" s="7"/>
      <c r="F102" s="7"/>
    </row>
    <row r="103" ht="15.75" customHeight="1">
      <c r="A103" s="7"/>
      <c r="B103" s="7"/>
      <c r="C103" s="36"/>
      <c r="D103" s="7"/>
      <c r="E103" s="7"/>
      <c r="F103" s="7"/>
    </row>
    <row r="104" ht="15.75" customHeight="1">
      <c r="A104" s="7"/>
      <c r="B104" s="7"/>
      <c r="C104" s="36"/>
      <c r="D104" s="7"/>
      <c r="E104" s="7"/>
      <c r="F104" s="7"/>
    </row>
    <row r="105" ht="15.75" customHeight="1">
      <c r="A105" s="7"/>
      <c r="B105" s="7"/>
      <c r="C105" s="36"/>
      <c r="D105" s="7"/>
      <c r="E105" s="7"/>
      <c r="F105" s="7"/>
    </row>
    <row r="106" ht="15.75" customHeight="1">
      <c r="A106" s="7"/>
      <c r="B106" s="7"/>
      <c r="C106" s="36"/>
      <c r="D106" s="7"/>
      <c r="E106" s="7"/>
      <c r="F106" s="7"/>
    </row>
    <row r="107" ht="15.75" customHeight="1">
      <c r="A107" s="7"/>
      <c r="B107" s="7"/>
      <c r="C107" s="36"/>
      <c r="D107" s="7"/>
      <c r="E107" s="7"/>
      <c r="F107" s="7"/>
    </row>
    <row r="108" ht="15.75" customHeight="1">
      <c r="A108" s="7"/>
      <c r="B108" s="7"/>
      <c r="C108" s="36"/>
      <c r="D108" s="7"/>
      <c r="E108" s="7"/>
      <c r="F108" s="7"/>
    </row>
    <row r="109" ht="15.75" customHeight="1">
      <c r="A109" s="7"/>
      <c r="B109" s="7"/>
      <c r="C109" s="36"/>
      <c r="D109" s="7"/>
      <c r="E109" s="7"/>
      <c r="F109" s="7"/>
    </row>
    <row r="110" ht="15.75" customHeight="1">
      <c r="A110" s="7"/>
      <c r="B110" s="7"/>
      <c r="C110" s="36"/>
      <c r="D110" s="7"/>
      <c r="E110" s="7"/>
      <c r="F110" s="7"/>
    </row>
    <row r="111" ht="15.75" customHeight="1">
      <c r="A111" s="7"/>
      <c r="B111" s="7"/>
      <c r="C111" s="36"/>
      <c r="D111" s="7"/>
      <c r="E111" s="7"/>
      <c r="F111" s="7"/>
    </row>
    <row r="112" ht="15.75" customHeight="1">
      <c r="A112" s="7"/>
      <c r="B112" s="7"/>
      <c r="C112" s="36"/>
      <c r="D112" s="7"/>
      <c r="E112" s="7"/>
      <c r="F112" s="7"/>
    </row>
    <row r="113" ht="15.75" customHeight="1">
      <c r="A113" s="7"/>
      <c r="B113" s="7"/>
      <c r="C113" s="36"/>
      <c r="D113" s="7"/>
      <c r="E113" s="7"/>
      <c r="F113" s="7"/>
    </row>
    <row r="114" ht="15.75" customHeight="1">
      <c r="A114" s="7"/>
      <c r="B114" s="7"/>
      <c r="C114" s="36"/>
      <c r="D114" s="7"/>
      <c r="E114" s="7"/>
      <c r="F114" s="7"/>
    </row>
    <row r="115" ht="15.75" customHeight="1">
      <c r="A115" s="7"/>
      <c r="B115" s="7"/>
      <c r="C115" s="36"/>
      <c r="D115" s="7"/>
      <c r="E115" s="7"/>
      <c r="F115" s="7"/>
    </row>
    <row r="116" ht="15.75" customHeight="1">
      <c r="A116" s="7"/>
      <c r="B116" s="7"/>
      <c r="C116" s="36"/>
      <c r="D116" s="7"/>
      <c r="E116" s="7"/>
      <c r="F116" s="7"/>
    </row>
    <row r="117" ht="15.75" customHeight="1">
      <c r="A117" s="7"/>
      <c r="B117" s="7"/>
      <c r="C117" s="36"/>
      <c r="D117" s="7"/>
      <c r="E117" s="7"/>
      <c r="F117" s="7"/>
    </row>
    <row r="118" ht="15.75" customHeight="1">
      <c r="A118" s="7"/>
      <c r="B118" s="7"/>
      <c r="C118" s="36"/>
      <c r="D118" s="7"/>
      <c r="E118" s="7"/>
      <c r="F118" s="7"/>
    </row>
    <row r="119" ht="15.75" customHeight="1">
      <c r="A119" s="7"/>
      <c r="B119" s="7"/>
      <c r="C119" s="36"/>
      <c r="D119" s="7"/>
      <c r="E119" s="7"/>
      <c r="F119" s="7"/>
    </row>
    <row r="120" ht="15.75" customHeight="1">
      <c r="A120" s="7"/>
      <c r="B120" s="7"/>
      <c r="C120" s="36"/>
      <c r="D120" s="7"/>
      <c r="E120" s="7"/>
      <c r="F120" s="7"/>
    </row>
    <row r="121" ht="15.75" customHeight="1">
      <c r="A121" s="7"/>
      <c r="B121" s="7"/>
      <c r="C121" s="36"/>
      <c r="D121" s="7"/>
      <c r="E121" s="7"/>
      <c r="F121" s="7"/>
    </row>
    <row r="122" ht="15.75" customHeight="1">
      <c r="A122" s="7"/>
      <c r="B122" s="7"/>
      <c r="C122" s="36"/>
      <c r="D122" s="7"/>
      <c r="E122" s="7"/>
      <c r="F122" s="7"/>
    </row>
    <row r="123" ht="15.75" customHeight="1">
      <c r="A123" s="7"/>
      <c r="B123" s="7"/>
      <c r="C123" s="36"/>
      <c r="D123" s="7"/>
      <c r="E123" s="7"/>
      <c r="F123" s="7"/>
    </row>
    <row r="124" ht="15.75" customHeight="1">
      <c r="A124" s="7"/>
      <c r="B124" s="7"/>
      <c r="C124" s="36"/>
      <c r="D124" s="7"/>
      <c r="E124" s="7"/>
      <c r="F124" s="7"/>
    </row>
    <row r="125" ht="15.75" customHeight="1">
      <c r="A125" s="7"/>
      <c r="B125" s="7"/>
      <c r="C125" s="36"/>
      <c r="D125" s="7"/>
      <c r="E125" s="7"/>
      <c r="F125" s="7"/>
    </row>
    <row r="126" ht="15.75" customHeight="1">
      <c r="A126" s="7"/>
      <c r="B126" s="7"/>
      <c r="C126" s="36"/>
      <c r="D126" s="7"/>
      <c r="E126" s="7"/>
      <c r="F126" s="7"/>
    </row>
    <row r="127" ht="15.75" customHeight="1">
      <c r="A127" s="7"/>
      <c r="B127" s="7"/>
      <c r="C127" s="36"/>
      <c r="D127" s="7"/>
      <c r="E127" s="7"/>
      <c r="F127" s="7"/>
    </row>
    <row r="128" ht="15.75" customHeight="1">
      <c r="A128" s="7"/>
      <c r="B128" s="7"/>
      <c r="C128" s="36"/>
      <c r="D128" s="7"/>
      <c r="E128" s="7"/>
      <c r="F128" s="7"/>
    </row>
    <row r="129" ht="15.75" customHeight="1">
      <c r="A129" s="7"/>
      <c r="B129" s="7"/>
      <c r="C129" s="36"/>
      <c r="D129" s="7"/>
      <c r="E129" s="7"/>
      <c r="F129" s="7"/>
    </row>
    <row r="130" ht="15.75" customHeight="1">
      <c r="A130" s="7"/>
      <c r="B130" s="7"/>
      <c r="C130" s="36"/>
      <c r="D130" s="7"/>
      <c r="E130" s="7"/>
      <c r="F130" s="7"/>
    </row>
    <row r="131" ht="15.75" customHeight="1">
      <c r="A131" s="7"/>
      <c r="B131" s="7"/>
      <c r="C131" s="36"/>
      <c r="D131" s="7"/>
      <c r="E131" s="7"/>
      <c r="F131" s="7"/>
    </row>
    <row r="132" ht="15.75" customHeight="1">
      <c r="A132" s="7"/>
      <c r="B132" s="7"/>
      <c r="C132" s="36"/>
      <c r="D132" s="7"/>
      <c r="E132" s="7"/>
      <c r="F132" s="7"/>
    </row>
    <row r="133" ht="15.75" customHeight="1">
      <c r="A133" s="7"/>
      <c r="B133" s="7"/>
      <c r="C133" s="36"/>
      <c r="D133" s="7"/>
      <c r="E133" s="7"/>
      <c r="F133" s="7"/>
    </row>
    <row r="134" ht="15.75" customHeight="1">
      <c r="A134" s="7"/>
      <c r="B134" s="7"/>
      <c r="C134" s="36"/>
      <c r="D134" s="7"/>
      <c r="E134" s="7"/>
      <c r="F134" s="7"/>
    </row>
    <row r="135" ht="15.75" customHeight="1">
      <c r="A135" s="7"/>
      <c r="B135" s="7"/>
      <c r="C135" s="36"/>
      <c r="D135" s="7"/>
      <c r="E135" s="7"/>
      <c r="F135" s="7"/>
    </row>
    <row r="136" ht="15.75" customHeight="1">
      <c r="A136" s="7"/>
      <c r="B136" s="7"/>
      <c r="C136" s="36"/>
      <c r="D136" s="7"/>
      <c r="E136" s="7"/>
      <c r="F136" s="7"/>
    </row>
    <row r="137" ht="15.75" customHeight="1">
      <c r="A137" s="7"/>
      <c r="B137" s="7"/>
      <c r="C137" s="36"/>
      <c r="D137" s="7"/>
      <c r="E137" s="7"/>
      <c r="F137" s="7"/>
    </row>
    <row r="138" ht="15.75" customHeight="1">
      <c r="A138" s="7"/>
      <c r="B138" s="7"/>
      <c r="C138" s="36"/>
      <c r="D138" s="7"/>
      <c r="E138" s="7"/>
      <c r="F138" s="7"/>
    </row>
    <row r="139" ht="15.75" customHeight="1">
      <c r="A139" s="7"/>
      <c r="B139" s="7"/>
      <c r="C139" s="36"/>
      <c r="D139" s="7"/>
      <c r="E139" s="7"/>
      <c r="F139" s="7"/>
    </row>
    <row r="140" ht="15.75" customHeight="1">
      <c r="A140" s="7"/>
      <c r="B140" s="7"/>
      <c r="C140" s="36"/>
      <c r="D140" s="7"/>
      <c r="E140" s="7"/>
      <c r="F140" s="7"/>
    </row>
    <row r="141" ht="15.75" customHeight="1">
      <c r="A141" s="7"/>
      <c r="B141" s="7"/>
      <c r="C141" s="36"/>
      <c r="D141" s="7"/>
      <c r="E141" s="7"/>
      <c r="F141" s="7"/>
    </row>
    <row r="142" ht="15.75" customHeight="1">
      <c r="A142" s="7"/>
      <c r="B142" s="7"/>
      <c r="C142" s="36"/>
      <c r="D142" s="7"/>
      <c r="E142" s="7"/>
      <c r="F142" s="7"/>
    </row>
    <row r="143" ht="15.75" customHeight="1">
      <c r="A143" s="7"/>
      <c r="B143" s="7"/>
      <c r="C143" s="36"/>
      <c r="D143" s="7"/>
      <c r="E143" s="7"/>
      <c r="F143" s="7"/>
    </row>
    <row r="144" ht="15.75" customHeight="1">
      <c r="A144" s="7"/>
      <c r="B144" s="7"/>
      <c r="C144" s="36"/>
      <c r="D144" s="7"/>
      <c r="E144" s="7"/>
      <c r="F144" s="7"/>
    </row>
    <row r="145" ht="15.75" customHeight="1">
      <c r="A145" s="7"/>
      <c r="B145" s="7"/>
      <c r="C145" s="36"/>
      <c r="D145" s="7"/>
      <c r="E145" s="7"/>
      <c r="F145" s="7"/>
    </row>
    <row r="146" ht="15.75" customHeight="1">
      <c r="A146" s="7"/>
      <c r="B146" s="7"/>
      <c r="C146" s="36"/>
      <c r="D146" s="7"/>
      <c r="E146" s="7"/>
      <c r="F146" s="7"/>
    </row>
    <row r="147" ht="15.75" customHeight="1">
      <c r="A147" s="7"/>
      <c r="B147" s="7"/>
      <c r="C147" s="36"/>
      <c r="D147" s="7"/>
      <c r="E147" s="7"/>
      <c r="F147" s="7"/>
    </row>
    <row r="148" ht="15.75" customHeight="1">
      <c r="A148" s="7"/>
      <c r="B148" s="7"/>
      <c r="C148" s="36"/>
      <c r="D148" s="7"/>
      <c r="E148" s="7"/>
      <c r="F148" s="7"/>
    </row>
    <row r="149" ht="15.75" customHeight="1">
      <c r="A149" s="7"/>
      <c r="B149" s="7"/>
      <c r="C149" s="36"/>
      <c r="D149" s="7"/>
      <c r="E149" s="7"/>
      <c r="F149" s="7"/>
    </row>
    <row r="150" ht="15.75" customHeight="1">
      <c r="A150" s="7"/>
      <c r="B150" s="7"/>
      <c r="C150" s="36"/>
      <c r="D150" s="7"/>
      <c r="E150" s="7"/>
      <c r="F150" s="7"/>
    </row>
    <row r="151" ht="15.75" customHeight="1">
      <c r="A151" s="7"/>
      <c r="B151" s="7"/>
      <c r="C151" s="36"/>
      <c r="D151" s="7"/>
      <c r="E151" s="7"/>
      <c r="F151" s="7"/>
    </row>
    <row r="152" ht="15.75" customHeight="1">
      <c r="A152" s="7"/>
      <c r="B152" s="7"/>
      <c r="C152" s="36"/>
      <c r="D152" s="7"/>
      <c r="E152" s="7"/>
      <c r="F152" s="7"/>
    </row>
    <row r="153" ht="15.75" customHeight="1">
      <c r="A153" s="7"/>
      <c r="B153" s="7"/>
      <c r="C153" s="36"/>
      <c r="D153" s="7"/>
      <c r="E153" s="7"/>
      <c r="F153" s="7"/>
    </row>
    <row r="154" ht="15.75" customHeight="1">
      <c r="A154" s="7"/>
      <c r="B154" s="7"/>
      <c r="C154" s="36"/>
      <c r="D154" s="7"/>
      <c r="E154" s="7"/>
      <c r="F154" s="7"/>
    </row>
    <row r="155" ht="15.75" customHeight="1">
      <c r="A155" s="7"/>
      <c r="B155" s="7"/>
      <c r="C155" s="36"/>
      <c r="D155" s="7"/>
      <c r="E155" s="7"/>
      <c r="F155" s="7"/>
    </row>
    <row r="156" ht="15.75" customHeight="1">
      <c r="A156" s="7"/>
      <c r="B156" s="7"/>
      <c r="C156" s="36"/>
      <c r="D156" s="7"/>
      <c r="E156" s="7"/>
      <c r="F156" s="7"/>
    </row>
    <row r="157" ht="15.75" customHeight="1">
      <c r="A157" s="7"/>
      <c r="B157" s="7"/>
      <c r="C157" s="36"/>
      <c r="D157" s="7"/>
      <c r="E157" s="7"/>
      <c r="F157" s="7"/>
    </row>
    <row r="158" ht="15.75" customHeight="1">
      <c r="A158" s="7"/>
      <c r="B158" s="7"/>
      <c r="C158" s="36"/>
      <c r="D158" s="7"/>
      <c r="E158" s="7"/>
      <c r="F158" s="7"/>
    </row>
    <row r="159" ht="15.75" customHeight="1">
      <c r="A159" s="7"/>
      <c r="B159" s="7"/>
      <c r="C159" s="36"/>
      <c r="D159" s="7"/>
      <c r="E159" s="7"/>
      <c r="F159" s="7"/>
    </row>
    <row r="160" ht="15.75" customHeight="1">
      <c r="A160" s="7"/>
      <c r="B160" s="7"/>
      <c r="C160" s="36"/>
      <c r="D160" s="7"/>
      <c r="E160" s="7"/>
      <c r="F160" s="7"/>
    </row>
    <row r="161" ht="15.75" customHeight="1">
      <c r="A161" s="7"/>
      <c r="B161" s="7"/>
      <c r="C161" s="36"/>
      <c r="D161" s="7"/>
      <c r="E161" s="7"/>
      <c r="F161" s="7"/>
    </row>
    <row r="162" ht="15.75" customHeight="1">
      <c r="A162" s="7"/>
      <c r="B162" s="7"/>
      <c r="C162" s="36"/>
      <c r="D162" s="7"/>
      <c r="E162" s="7"/>
      <c r="F162" s="7"/>
    </row>
    <row r="163" ht="15.75" customHeight="1">
      <c r="A163" s="7"/>
      <c r="B163" s="7"/>
      <c r="C163" s="36"/>
      <c r="D163" s="7"/>
      <c r="E163" s="7"/>
      <c r="F163" s="7"/>
    </row>
    <row r="164" ht="15.75" customHeight="1">
      <c r="A164" s="7"/>
      <c r="B164" s="7"/>
      <c r="C164" s="36"/>
      <c r="D164" s="7"/>
      <c r="E164" s="7"/>
      <c r="F164" s="7"/>
    </row>
    <row r="165" ht="15.75" customHeight="1">
      <c r="A165" s="7"/>
      <c r="B165" s="7"/>
      <c r="C165" s="36"/>
      <c r="D165" s="7"/>
      <c r="E165" s="7"/>
      <c r="F165" s="7"/>
    </row>
    <row r="166" ht="15.75" customHeight="1">
      <c r="A166" s="7"/>
      <c r="B166" s="7"/>
      <c r="C166" s="36"/>
      <c r="D166" s="7"/>
      <c r="E166" s="7"/>
      <c r="F166" s="7"/>
    </row>
    <row r="167" ht="15.75" customHeight="1">
      <c r="A167" s="7"/>
      <c r="B167" s="7"/>
      <c r="C167" s="36"/>
      <c r="D167" s="7"/>
      <c r="E167" s="7"/>
      <c r="F167" s="7"/>
    </row>
    <row r="168" ht="15.75" customHeight="1">
      <c r="A168" s="7"/>
      <c r="B168" s="7"/>
      <c r="C168" s="36"/>
      <c r="D168" s="7"/>
      <c r="E168" s="7"/>
      <c r="F168" s="7"/>
    </row>
    <row r="169" ht="15.75" customHeight="1">
      <c r="A169" s="7"/>
      <c r="B169" s="7"/>
      <c r="C169" s="36"/>
      <c r="D169" s="7"/>
      <c r="E169" s="7"/>
      <c r="F169" s="7"/>
    </row>
    <row r="170" ht="15.75" customHeight="1">
      <c r="A170" s="7"/>
      <c r="B170" s="7"/>
      <c r="C170" s="36"/>
      <c r="D170" s="7"/>
      <c r="E170" s="7"/>
      <c r="F170" s="7"/>
    </row>
    <row r="171" ht="15.75" customHeight="1">
      <c r="A171" s="7"/>
      <c r="B171" s="7"/>
      <c r="C171" s="36"/>
      <c r="D171" s="7"/>
      <c r="E171" s="7"/>
      <c r="F171" s="7"/>
    </row>
    <row r="172" ht="15.75" customHeight="1">
      <c r="A172" s="7"/>
      <c r="B172" s="7"/>
      <c r="C172" s="36"/>
      <c r="D172" s="7"/>
      <c r="E172" s="7"/>
      <c r="F172" s="7"/>
    </row>
    <row r="173" ht="15.75" customHeight="1">
      <c r="A173" s="7"/>
      <c r="B173" s="7"/>
      <c r="C173" s="36"/>
      <c r="D173" s="7"/>
      <c r="E173" s="7"/>
      <c r="F173" s="7"/>
    </row>
    <row r="174" ht="15.75" customHeight="1">
      <c r="A174" s="7"/>
      <c r="B174" s="7"/>
      <c r="C174" s="36"/>
      <c r="D174" s="7"/>
      <c r="E174" s="7"/>
      <c r="F174" s="7"/>
    </row>
    <row r="175" ht="15.75" customHeight="1">
      <c r="A175" s="7"/>
      <c r="B175" s="7"/>
      <c r="C175" s="36"/>
      <c r="D175" s="7"/>
      <c r="E175" s="7"/>
      <c r="F175" s="7"/>
    </row>
    <row r="176" ht="15.75" customHeight="1">
      <c r="A176" s="7"/>
      <c r="B176" s="7"/>
      <c r="C176" s="36"/>
      <c r="D176" s="7"/>
      <c r="E176" s="7"/>
      <c r="F176" s="7"/>
    </row>
    <row r="177" ht="15.75" customHeight="1">
      <c r="A177" s="7"/>
      <c r="B177" s="7"/>
      <c r="C177" s="36"/>
      <c r="D177" s="7"/>
      <c r="E177" s="7"/>
      <c r="F177" s="7"/>
    </row>
    <row r="178" ht="15.75" customHeight="1">
      <c r="A178" s="7"/>
      <c r="B178" s="7"/>
      <c r="C178" s="36"/>
      <c r="D178" s="7"/>
      <c r="E178" s="7"/>
      <c r="F178" s="7"/>
    </row>
    <row r="179" ht="15.75" customHeight="1">
      <c r="A179" s="7"/>
      <c r="B179" s="7"/>
      <c r="C179" s="36"/>
      <c r="D179" s="7"/>
      <c r="E179" s="7"/>
      <c r="F179" s="7"/>
    </row>
    <row r="180" ht="15.75" customHeight="1">
      <c r="A180" s="7"/>
      <c r="B180" s="7"/>
      <c r="C180" s="36"/>
      <c r="D180" s="7"/>
      <c r="E180" s="7"/>
      <c r="F180" s="7"/>
    </row>
    <row r="181" ht="15.75" customHeight="1">
      <c r="A181" s="7"/>
      <c r="B181" s="7"/>
      <c r="C181" s="36"/>
      <c r="D181" s="7"/>
      <c r="E181" s="7"/>
      <c r="F181" s="7"/>
    </row>
    <row r="182" ht="15.75" customHeight="1">
      <c r="A182" s="7"/>
      <c r="B182" s="7"/>
      <c r="C182" s="36"/>
      <c r="D182" s="7"/>
      <c r="E182" s="7"/>
      <c r="F182" s="7"/>
    </row>
    <row r="183" ht="15.75" customHeight="1">
      <c r="A183" s="7"/>
      <c r="B183" s="7"/>
      <c r="C183" s="36"/>
      <c r="D183" s="7"/>
      <c r="E183" s="7"/>
      <c r="F183" s="7"/>
    </row>
    <row r="184" ht="15.75" customHeight="1">
      <c r="A184" s="7"/>
      <c r="B184" s="7"/>
      <c r="C184" s="36"/>
      <c r="D184" s="7"/>
      <c r="E184" s="7"/>
      <c r="F184" s="7"/>
    </row>
    <row r="185" ht="15.75" customHeight="1">
      <c r="A185" s="7"/>
      <c r="B185" s="7"/>
      <c r="C185" s="36"/>
      <c r="D185" s="7"/>
      <c r="E185" s="7"/>
      <c r="F185" s="7"/>
    </row>
    <row r="186" ht="15.75" customHeight="1">
      <c r="A186" s="7"/>
      <c r="B186" s="7"/>
      <c r="C186" s="36"/>
      <c r="D186" s="7"/>
      <c r="E186" s="7"/>
      <c r="F186" s="7"/>
    </row>
    <row r="187" ht="15.75" customHeight="1">
      <c r="A187" s="7"/>
      <c r="B187" s="7"/>
      <c r="C187" s="36"/>
      <c r="D187" s="7"/>
      <c r="E187" s="7"/>
      <c r="F187" s="7"/>
    </row>
    <row r="188" ht="15.75" customHeight="1">
      <c r="A188" s="7"/>
      <c r="B188" s="7"/>
      <c r="C188" s="36"/>
      <c r="D188" s="7"/>
      <c r="E188" s="7"/>
      <c r="F188" s="7"/>
    </row>
    <row r="189" ht="15.75" customHeight="1">
      <c r="A189" s="7"/>
      <c r="B189" s="7"/>
      <c r="C189" s="36"/>
      <c r="D189" s="7"/>
      <c r="E189" s="7"/>
      <c r="F189" s="7"/>
    </row>
    <row r="190" ht="15.75" customHeight="1">
      <c r="A190" s="7"/>
      <c r="B190" s="7"/>
      <c r="C190" s="36"/>
      <c r="D190" s="7"/>
      <c r="E190" s="7"/>
      <c r="F190" s="7"/>
    </row>
    <row r="191" ht="15.75" customHeight="1">
      <c r="A191" s="7"/>
      <c r="B191" s="7"/>
      <c r="C191" s="36"/>
      <c r="D191" s="7"/>
      <c r="E191" s="7"/>
      <c r="F191" s="7"/>
    </row>
    <row r="192" ht="15.75" customHeight="1">
      <c r="A192" s="7"/>
      <c r="B192" s="7"/>
      <c r="C192" s="36"/>
      <c r="D192" s="7"/>
      <c r="E192" s="7"/>
      <c r="F192" s="7"/>
    </row>
    <row r="193" ht="15.75" customHeight="1">
      <c r="A193" s="7"/>
      <c r="B193" s="7"/>
      <c r="C193" s="36"/>
      <c r="D193" s="7"/>
      <c r="E193" s="7"/>
      <c r="F193" s="7"/>
    </row>
    <row r="194" ht="15.75" customHeight="1">
      <c r="A194" s="7"/>
      <c r="B194" s="7"/>
      <c r="C194" s="36"/>
      <c r="D194" s="7"/>
      <c r="E194" s="7"/>
      <c r="F194" s="7"/>
    </row>
    <row r="195" ht="15.75" customHeight="1">
      <c r="A195" s="7"/>
      <c r="B195" s="7"/>
      <c r="C195" s="36"/>
      <c r="D195" s="7"/>
      <c r="E195" s="7"/>
      <c r="F195" s="7"/>
    </row>
    <row r="196" ht="15.75" customHeight="1">
      <c r="A196" s="7"/>
      <c r="B196" s="7"/>
      <c r="C196" s="36"/>
      <c r="D196" s="7"/>
      <c r="E196" s="7"/>
      <c r="F196" s="7"/>
    </row>
    <row r="197" ht="15.75" customHeight="1">
      <c r="A197" s="7"/>
      <c r="B197" s="7"/>
      <c r="C197" s="36"/>
      <c r="D197" s="7"/>
      <c r="E197" s="7"/>
      <c r="F197" s="7"/>
    </row>
    <row r="198" ht="15.75" customHeight="1">
      <c r="A198" s="7"/>
      <c r="B198" s="7"/>
      <c r="C198" s="36"/>
      <c r="D198" s="7"/>
      <c r="E198" s="7"/>
      <c r="F198" s="7"/>
    </row>
    <row r="199" ht="15.75" customHeight="1">
      <c r="A199" s="7"/>
      <c r="B199" s="7"/>
      <c r="C199" s="36"/>
      <c r="D199" s="7"/>
      <c r="E199" s="7"/>
      <c r="F199" s="7"/>
    </row>
    <row r="200" ht="15.75" customHeight="1">
      <c r="A200" s="7"/>
      <c r="B200" s="7"/>
      <c r="C200" s="36"/>
      <c r="D200" s="7"/>
      <c r="E200" s="7"/>
      <c r="F200" s="7"/>
    </row>
    <row r="201" ht="15.75" customHeight="1">
      <c r="A201" s="7"/>
      <c r="B201" s="7"/>
      <c r="C201" s="36"/>
      <c r="D201" s="7"/>
      <c r="E201" s="7"/>
      <c r="F201" s="7"/>
    </row>
    <row r="202" ht="15.75" customHeight="1">
      <c r="A202" s="7"/>
      <c r="B202" s="7"/>
      <c r="C202" s="36"/>
      <c r="D202" s="7"/>
      <c r="E202" s="7"/>
      <c r="F202" s="7"/>
    </row>
    <row r="203" ht="15.75" customHeight="1">
      <c r="A203" s="7"/>
      <c r="B203" s="7"/>
      <c r="C203" s="36"/>
      <c r="D203" s="7"/>
      <c r="E203" s="7"/>
      <c r="F203" s="7"/>
    </row>
    <row r="204" ht="15.75" customHeight="1">
      <c r="A204" s="7"/>
      <c r="B204" s="7"/>
      <c r="C204" s="36"/>
      <c r="D204" s="7"/>
      <c r="E204" s="7"/>
      <c r="F204" s="7"/>
    </row>
    <row r="205" ht="15.75" customHeight="1">
      <c r="A205" s="7"/>
      <c r="B205" s="7"/>
      <c r="C205" s="36"/>
      <c r="D205" s="7"/>
      <c r="E205" s="7"/>
      <c r="F205" s="7"/>
    </row>
    <row r="206" ht="15.75" customHeight="1">
      <c r="A206" s="7"/>
      <c r="B206" s="7"/>
      <c r="C206" s="36"/>
      <c r="D206" s="7"/>
      <c r="E206" s="7"/>
      <c r="F206" s="7"/>
    </row>
    <row r="207" ht="15.75" customHeight="1">
      <c r="A207" s="7"/>
      <c r="B207" s="7"/>
      <c r="C207" s="36"/>
      <c r="D207" s="7"/>
      <c r="E207" s="7"/>
      <c r="F207" s="7"/>
    </row>
    <row r="208" ht="15.75" customHeight="1">
      <c r="A208" s="7"/>
      <c r="B208" s="7"/>
      <c r="C208" s="36"/>
      <c r="D208" s="7"/>
      <c r="E208" s="7"/>
      <c r="F208" s="7"/>
    </row>
    <row r="209" ht="15.75" customHeight="1">
      <c r="A209" s="7"/>
      <c r="B209" s="7"/>
      <c r="C209" s="36"/>
      <c r="D209" s="7"/>
      <c r="E209" s="7"/>
      <c r="F209" s="7"/>
    </row>
    <row r="210" ht="15.75" customHeight="1">
      <c r="A210" s="7"/>
      <c r="B210" s="7"/>
      <c r="C210" s="36"/>
      <c r="D210" s="7"/>
      <c r="E210" s="7"/>
      <c r="F210" s="7"/>
    </row>
    <row r="211" ht="15.75" customHeight="1">
      <c r="A211" s="7"/>
      <c r="B211" s="7"/>
      <c r="C211" s="36"/>
      <c r="D211" s="7"/>
      <c r="E211" s="7"/>
      <c r="F211" s="7"/>
    </row>
    <row r="212" ht="15.75" customHeight="1">
      <c r="A212" s="7"/>
      <c r="B212" s="7"/>
      <c r="C212" s="36"/>
      <c r="D212" s="7"/>
      <c r="E212" s="7"/>
      <c r="F212" s="7"/>
    </row>
    <row r="213" ht="15.75" customHeight="1">
      <c r="A213" s="7"/>
      <c r="B213" s="7"/>
      <c r="C213" s="36"/>
      <c r="D213" s="7"/>
      <c r="E213" s="7"/>
      <c r="F213" s="7"/>
    </row>
    <row r="214" ht="15.75" customHeight="1">
      <c r="A214" s="7"/>
      <c r="B214" s="7"/>
      <c r="C214" s="36"/>
      <c r="D214" s="7"/>
      <c r="E214" s="7"/>
      <c r="F214" s="7"/>
    </row>
    <row r="215" ht="15.75" customHeight="1">
      <c r="A215" s="7"/>
      <c r="B215" s="7"/>
      <c r="C215" s="36"/>
      <c r="D215" s="7"/>
      <c r="E215" s="7"/>
      <c r="F215" s="7"/>
    </row>
    <row r="216" ht="15.75" customHeight="1">
      <c r="A216" s="7"/>
      <c r="B216" s="7"/>
      <c r="C216" s="36"/>
      <c r="D216" s="7"/>
      <c r="E216" s="7"/>
      <c r="F216" s="7"/>
    </row>
    <row r="217" ht="15.75" customHeight="1">
      <c r="A217" s="7"/>
      <c r="B217" s="7"/>
      <c r="C217" s="36"/>
      <c r="D217" s="7"/>
      <c r="E217" s="7"/>
      <c r="F217" s="7"/>
    </row>
    <row r="218" ht="15.75" customHeight="1">
      <c r="A218" s="7"/>
      <c r="B218" s="7"/>
      <c r="C218" s="36"/>
      <c r="D218" s="7"/>
      <c r="E218" s="7"/>
      <c r="F218" s="7"/>
    </row>
    <row r="219" ht="15.75" customHeight="1">
      <c r="A219" s="7"/>
      <c r="B219" s="7"/>
      <c r="C219" s="36"/>
      <c r="D219" s="7"/>
      <c r="E219" s="7"/>
      <c r="F219" s="7"/>
    </row>
    <row r="220" ht="15.75" customHeight="1">
      <c r="A220" s="7"/>
      <c r="B220" s="7"/>
      <c r="C220" s="36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dataValidations>
    <dataValidation type="list" allowBlank="1" showErrorMessage="1" sqref="C1:C11 C13:C1000">
      <formula1>"Acumulada,Loja"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9.88"/>
    <col customWidth="1" min="2" max="2" width="7.5"/>
    <col customWidth="1" min="3" max="3" width="12.25"/>
    <col customWidth="1" min="4" max="4" width="12.5"/>
    <col customWidth="1" min="5" max="5" width="12.88"/>
    <col customWidth="1" min="6" max="6" width="13.0"/>
    <col customWidth="1" min="7" max="7" width="3.63"/>
    <col customWidth="1" min="8" max="8" width="13.5"/>
    <col customWidth="1" min="9" max="9" width="9.25"/>
    <col customWidth="1" min="10" max="10" width="11.88"/>
    <col customWidth="1" min="11" max="11" width="9.0"/>
    <col customWidth="1" min="12" max="13" width="11.88"/>
  </cols>
  <sheetData>
    <row r="1" ht="17.25" customHeight="1">
      <c r="A1" s="8"/>
      <c r="B1" s="11"/>
      <c r="C1" s="14"/>
      <c r="D1" s="11"/>
      <c r="E1" s="14"/>
      <c r="F1" s="14"/>
      <c r="G1" s="16"/>
      <c r="H1" s="17"/>
      <c r="I1" s="18"/>
      <c r="J1" s="18"/>
      <c r="K1" s="18"/>
      <c r="L1" s="18"/>
      <c r="M1" s="18"/>
      <c r="N1" s="16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ht="17.25" customHeight="1">
      <c r="A2" s="11"/>
      <c r="B2" s="11"/>
      <c r="C2" s="14"/>
      <c r="D2" s="11"/>
      <c r="E2" s="14"/>
      <c r="F2" s="14"/>
      <c r="G2" s="16"/>
      <c r="H2" s="17"/>
      <c r="I2" s="18"/>
      <c r="J2" s="18"/>
      <c r="K2" s="18"/>
      <c r="L2" s="18"/>
      <c r="M2" s="18"/>
      <c r="N2" s="16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15.75" customHeight="1" collapsed="1">
      <c r="A3" s="19" t="s">
        <v>36</v>
      </c>
      <c r="G3" s="16"/>
      <c r="H3" s="23"/>
      <c r="I3" s="25"/>
      <c r="J3" s="25"/>
      <c r="K3" s="25"/>
      <c r="L3" s="25"/>
      <c r="M3" s="25"/>
      <c r="N3" s="16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15.75" hidden="1" customHeight="1" outlineLevel="1">
      <c r="A4" s="11"/>
      <c r="B4" s="11"/>
      <c r="C4" s="30"/>
      <c r="D4" s="11"/>
      <c r="E4" s="30"/>
      <c r="F4" s="30"/>
      <c r="G4" s="16"/>
      <c r="H4" s="17"/>
      <c r="I4" s="18"/>
      <c r="J4" s="18"/>
      <c r="K4" s="18"/>
      <c r="L4" s="18"/>
      <c r="M4" s="18"/>
      <c r="N4" s="1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15.75" hidden="1" customHeight="1" outlineLevel="1">
      <c r="A5" s="37" t="s">
        <v>48</v>
      </c>
      <c r="B5" s="37" t="s">
        <v>50</v>
      </c>
      <c r="C5" s="38" t="s">
        <v>52</v>
      </c>
      <c r="D5" s="37" t="s">
        <v>53</v>
      </c>
      <c r="E5" s="38" t="s">
        <v>54</v>
      </c>
      <c r="F5" s="39" t="s">
        <v>55</v>
      </c>
      <c r="G5" s="16"/>
      <c r="H5" s="37" t="s">
        <v>56</v>
      </c>
      <c r="I5" s="41" t="s">
        <v>57</v>
      </c>
      <c r="J5" s="41" t="s">
        <v>58</v>
      </c>
      <c r="K5" s="41" t="s">
        <v>60</v>
      </c>
      <c r="L5" s="41" t="s">
        <v>61</v>
      </c>
      <c r="M5" s="41" t="s">
        <v>63</v>
      </c>
      <c r="N5" s="16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15.75" hidden="1" customHeight="1" outlineLevel="1">
      <c r="A6" s="16" t="s">
        <v>8</v>
      </c>
      <c r="B6" s="42">
        <v>50000.0</v>
      </c>
      <c r="C6" s="44">
        <v>39903.0</v>
      </c>
      <c r="D6" s="46">
        <f t="shared" ref="D6:D8" si="1">C6/B6</f>
        <v>0.79806</v>
      </c>
      <c r="E6" s="44">
        <v>250.0</v>
      </c>
      <c r="F6" s="44">
        <f t="shared" ref="F6:F8" si="2">ROUNDDOWN(E6*D6,0)</f>
        <v>199</v>
      </c>
      <c r="G6" s="16"/>
      <c r="H6" s="48">
        <f t="shared" ref="H6:H8" si="3">C6</f>
        <v>39903</v>
      </c>
      <c r="I6" s="49">
        <v>23.2</v>
      </c>
      <c r="J6" s="50">
        <v>29866.85</v>
      </c>
      <c r="K6" s="16">
        <v>76.13</v>
      </c>
      <c r="L6" s="50">
        <v>9364.48</v>
      </c>
      <c r="M6" s="16">
        <v>23.87</v>
      </c>
      <c r="N6" s="52" t="s">
        <v>76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ht="15.75" hidden="1" customHeight="1" outlineLevel="1">
      <c r="A7" s="54" t="s">
        <v>42</v>
      </c>
      <c r="B7" s="55">
        <v>50000.0</v>
      </c>
      <c r="C7" s="57">
        <v>39167.0</v>
      </c>
      <c r="D7" s="58">
        <f t="shared" si="1"/>
        <v>0.78334</v>
      </c>
      <c r="E7" s="57">
        <v>150.0</v>
      </c>
      <c r="F7" s="57">
        <f t="shared" si="2"/>
        <v>117</v>
      </c>
      <c r="G7" s="16"/>
      <c r="H7" s="61">
        <f t="shared" si="3"/>
        <v>39167</v>
      </c>
      <c r="I7" s="54">
        <v>21.38</v>
      </c>
      <c r="J7" s="62">
        <v>21279.29</v>
      </c>
      <c r="K7" s="54">
        <v>53.62</v>
      </c>
      <c r="L7" s="62">
        <v>18404.98</v>
      </c>
      <c r="M7" s="54">
        <v>46.38</v>
      </c>
      <c r="N7" s="1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ht="15.75" hidden="1" customHeight="1" outlineLevel="1">
      <c r="A8" s="16" t="s">
        <v>73</v>
      </c>
      <c r="B8" s="42">
        <v>12000.0</v>
      </c>
      <c r="C8" s="44">
        <v>9461.0</v>
      </c>
      <c r="D8" s="46">
        <f t="shared" si="1"/>
        <v>0.7884166667</v>
      </c>
      <c r="E8" s="44">
        <v>100.0</v>
      </c>
      <c r="F8" s="65">
        <f t="shared" si="2"/>
        <v>78</v>
      </c>
      <c r="G8" s="16"/>
      <c r="H8" s="48">
        <f t="shared" si="3"/>
        <v>9461</v>
      </c>
      <c r="I8" s="18">
        <v>25.59</v>
      </c>
      <c r="J8" s="67">
        <v>7237.0</v>
      </c>
      <c r="K8" s="36">
        <v>73.46</v>
      </c>
      <c r="L8" s="67">
        <v>2614.0</v>
      </c>
      <c r="M8" s="68">
        <v>26.54</v>
      </c>
      <c r="N8" s="16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ht="15.75" hidden="1" customHeight="1" outlineLevel="1">
      <c r="A9" s="18"/>
      <c r="B9" s="18"/>
      <c r="C9" s="71"/>
      <c r="D9" s="18"/>
      <c r="E9" s="71"/>
      <c r="F9" s="71"/>
      <c r="G9" s="16"/>
      <c r="H9" s="61">
        <f>SUM(H6:H8)</f>
        <v>88531</v>
      </c>
      <c r="I9" s="18"/>
      <c r="J9" s="62">
        <f>SUM(J6:J8)</f>
        <v>58383.14</v>
      </c>
      <c r="K9" s="76"/>
      <c r="L9" s="62">
        <f>SUM(L6:L8)</f>
        <v>30383.46</v>
      </c>
      <c r="M9" s="77"/>
      <c r="N9" s="16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ht="15.75" hidden="1" customHeight="1" outlineLevel="1">
      <c r="A10" s="18"/>
      <c r="B10" s="18"/>
      <c r="C10" s="71"/>
      <c r="D10" s="78" t="s">
        <v>81</v>
      </c>
      <c r="E10" s="79" t="s">
        <v>82</v>
      </c>
      <c r="F10" s="80">
        <f>SUM(F6:F8)</f>
        <v>394</v>
      </c>
      <c r="G10" s="16"/>
      <c r="H10" s="17"/>
      <c r="I10" s="18"/>
      <c r="J10" s="18"/>
      <c r="K10" s="18"/>
      <c r="L10" s="18"/>
      <c r="M10" s="18"/>
      <c r="N10" s="16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ht="15.75" hidden="1" customHeight="1" outlineLevel="1">
      <c r="A11" s="11"/>
      <c r="B11" s="11"/>
      <c r="C11" s="14"/>
      <c r="D11" s="11"/>
      <c r="E11" s="14"/>
      <c r="F11" s="14"/>
      <c r="G11" s="16"/>
      <c r="H11" s="17"/>
      <c r="I11" s="18"/>
      <c r="J11" s="18"/>
      <c r="K11" s="18"/>
      <c r="L11" s="18"/>
      <c r="M11" s="18"/>
      <c r="N11" s="16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ht="15.75" customHeight="1">
      <c r="A12" s="11"/>
      <c r="B12" s="11"/>
      <c r="C12" s="14"/>
      <c r="D12" s="11"/>
      <c r="E12" s="14"/>
      <c r="F12" s="14"/>
      <c r="G12" s="16"/>
      <c r="H12" s="17"/>
      <c r="I12" s="18"/>
      <c r="J12" s="18"/>
      <c r="K12" s="18"/>
      <c r="L12" s="18"/>
      <c r="M12" s="18"/>
      <c r="N12" s="16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ht="15.75" customHeight="1" collapsed="1">
      <c r="A13" s="19" t="s">
        <v>83</v>
      </c>
      <c r="G13" s="16"/>
      <c r="H13" s="23"/>
      <c r="N13" s="81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ht="15.75" hidden="1" customHeight="1" outlineLevel="1">
      <c r="A14" s="11"/>
      <c r="B14" s="11"/>
      <c r="C14" s="30"/>
      <c r="D14" s="11"/>
      <c r="E14" s="30"/>
      <c r="F14" s="30"/>
      <c r="G14" s="16"/>
      <c r="H14" s="81"/>
      <c r="I14" s="81"/>
      <c r="J14" s="81"/>
      <c r="K14" s="81"/>
      <c r="L14" s="81"/>
      <c r="M14" s="81"/>
      <c r="N14" s="81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ht="15.75" hidden="1" customHeight="1" outlineLevel="1">
      <c r="A15" s="37" t="s">
        <v>48</v>
      </c>
      <c r="B15" s="37" t="s">
        <v>84</v>
      </c>
      <c r="C15" s="38" t="s">
        <v>52</v>
      </c>
      <c r="D15" s="37" t="s">
        <v>53</v>
      </c>
      <c r="E15" s="38" t="s">
        <v>54</v>
      </c>
      <c r="F15" s="39" t="s">
        <v>55</v>
      </c>
      <c r="G15" s="82"/>
      <c r="H15" s="37" t="s">
        <v>56</v>
      </c>
      <c r="I15" s="41" t="s">
        <v>57</v>
      </c>
      <c r="J15" s="41" t="s">
        <v>58</v>
      </c>
      <c r="K15" s="41" t="s">
        <v>60</v>
      </c>
      <c r="L15" s="41" t="s">
        <v>61</v>
      </c>
      <c r="M15" s="41" t="s">
        <v>63</v>
      </c>
      <c r="N15" s="83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ht="15.75" hidden="1" customHeight="1" outlineLevel="1">
      <c r="A16" s="16" t="s">
        <v>8</v>
      </c>
      <c r="B16" s="42">
        <v>50000.0</v>
      </c>
      <c r="C16" s="44">
        <v>30537.0</v>
      </c>
      <c r="D16" s="46">
        <f t="shared" ref="D16:D18" si="4">C16/B16</f>
        <v>0.61074</v>
      </c>
      <c r="E16" s="44">
        <v>250.0</v>
      </c>
      <c r="F16" s="84">
        <f t="shared" ref="F16:F18" si="5">ROUNDDOWN(E16*D16,0)</f>
        <v>152</v>
      </c>
      <c r="G16" s="82"/>
      <c r="H16" s="81"/>
      <c r="I16" s="16">
        <v>20.84</v>
      </c>
      <c r="J16" s="85">
        <v>21185.98</v>
      </c>
      <c r="K16" s="16">
        <v>66.07</v>
      </c>
      <c r="L16" s="85">
        <v>10881.0</v>
      </c>
      <c r="M16" s="16">
        <v>33.93</v>
      </c>
      <c r="N16" s="52" t="s">
        <v>85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ht="15.75" hidden="1" customHeight="1" outlineLevel="1">
      <c r="A17" s="54" t="s">
        <v>42</v>
      </c>
      <c r="B17" s="55">
        <v>50000.0</v>
      </c>
      <c r="C17" s="57">
        <v>32289.0</v>
      </c>
      <c r="D17" s="58">
        <f t="shared" si="4"/>
        <v>0.64578</v>
      </c>
      <c r="E17" s="57">
        <v>150.0</v>
      </c>
      <c r="F17" s="86">
        <f t="shared" si="5"/>
        <v>96</v>
      </c>
      <c r="G17" s="16"/>
      <c r="H17" s="87"/>
      <c r="I17" s="54">
        <v>21.85</v>
      </c>
      <c r="J17" s="88">
        <v>19833.95</v>
      </c>
      <c r="K17" s="54">
        <v>58.76</v>
      </c>
      <c r="L17" s="88">
        <v>13918.5</v>
      </c>
      <c r="M17" s="54">
        <v>41.24</v>
      </c>
      <c r="N17" s="16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ht="15.75" hidden="1" customHeight="1" outlineLevel="1">
      <c r="A18" s="16" t="s">
        <v>73</v>
      </c>
      <c r="B18" s="42">
        <v>12000.0</v>
      </c>
      <c r="C18" s="44">
        <v>6592.0</v>
      </c>
      <c r="D18" s="46">
        <f t="shared" si="4"/>
        <v>0.5493333333</v>
      </c>
      <c r="E18" s="44">
        <v>100.0</v>
      </c>
      <c r="F18" s="89">
        <f t="shared" si="5"/>
        <v>54</v>
      </c>
      <c r="G18" s="18"/>
      <c r="H18" s="17"/>
      <c r="I18" s="18">
        <v>22.89</v>
      </c>
      <c r="J18" s="68">
        <v>4833.88</v>
      </c>
      <c r="K18" s="36">
        <v>67.47</v>
      </c>
      <c r="L18" s="68">
        <v>2331.0</v>
      </c>
      <c r="M18" s="36">
        <v>32.53</v>
      </c>
      <c r="N18" s="16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ht="15.75" hidden="1" customHeight="1" outlineLevel="1">
      <c r="A19" s="18"/>
      <c r="B19" s="18"/>
      <c r="C19" s="71"/>
      <c r="D19" s="18"/>
      <c r="E19" s="71"/>
      <c r="F19" s="89"/>
      <c r="G19" s="18"/>
      <c r="H19" s="61">
        <f>SUM(C16:C18)</f>
        <v>69418</v>
      </c>
      <c r="I19" s="18"/>
      <c r="J19" s="18"/>
      <c r="K19" s="18"/>
      <c r="L19" s="18"/>
      <c r="M19" s="18"/>
      <c r="N19" s="16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ht="15.75" hidden="1" customHeight="1" outlineLevel="1">
      <c r="A20" s="18"/>
      <c r="B20" s="18"/>
      <c r="C20" s="71"/>
      <c r="D20" s="90" t="s">
        <v>81</v>
      </c>
      <c r="E20" s="91" t="s">
        <v>82</v>
      </c>
      <c r="F20" s="92">
        <f>SUM(F16:F18)</f>
        <v>302</v>
      </c>
      <c r="G20" s="18"/>
      <c r="H20" s="17"/>
      <c r="I20" s="18"/>
      <c r="J20" s="18"/>
      <c r="K20" s="18"/>
      <c r="L20" s="18"/>
      <c r="M20" s="18"/>
      <c r="N20" s="16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ht="15.75" hidden="1" customHeight="1" outlineLevel="1">
      <c r="A21" s="18"/>
      <c r="B21" s="18"/>
      <c r="C21" s="71"/>
      <c r="D21" s="18"/>
      <c r="E21" s="71"/>
      <c r="F21" s="71"/>
      <c r="G21" s="18"/>
      <c r="H21" s="17"/>
      <c r="I21" s="18"/>
      <c r="J21" s="18"/>
      <c r="K21" s="18"/>
      <c r="L21" s="18"/>
      <c r="M21" s="18"/>
      <c r="N21" s="16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ht="15.75" hidden="1" customHeight="1" outlineLevel="1">
      <c r="A22" s="18"/>
      <c r="B22" s="18"/>
      <c r="C22" s="71"/>
      <c r="D22" s="18"/>
      <c r="E22" s="71"/>
      <c r="F22" s="71"/>
      <c r="G22" s="18"/>
      <c r="H22" s="17"/>
      <c r="I22" s="18"/>
      <c r="J22" s="18"/>
      <c r="K22" s="18"/>
      <c r="L22" s="18"/>
      <c r="M22" s="18"/>
      <c r="N22" s="16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ht="15.75" customHeight="1">
      <c r="A23" s="18"/>
      <c r="B23" s="18"/>
      <c r="C23" s="71"/>
      <c r="D23" s="18"/>
      <c r="E23" s="71"/>
      <c r="F23" s="71"/>
      <c r="G23" s="18"/>
      <c r="H23" s="17"/>
      <c r="I23" s="18"/>
      <c r="J23" s="18"/>
      <c r="K23" s="18"/>
      <c r="L23" s="18"/>
      <c r="M23" s="18"/>
      <c r="N23" s="16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15.75" customHeight="1" collapsed="1">
      <c r="A24" s="19" t="s">
        <v>86</v>
      </c>
      <c r="G24" s="18"/>
      <c r="H24" s="23"/>
      <c r="N24" s="81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ht="15.75" hidden="1" customHeight="1" outlineLevel="1">
      <c r="A25" s="93"/>
      <c r="B25" s="93"/>
      <c r="C25" s="94"/>
      <c r="D25" s="93"/>
      <c r="E25" s="94"/>
      <c r="F25" s="94"/>
      <c r="G25" s="18"/>
      <c r="H25" s="81"/>
      <c r="I25" s="81"/>
      <c r="J25" s="81"/>
      <c r="K25" s="81"/>
      <c r="L25" s="81"/>
      <c r="M25" s="81"/>
      <c r="N25" s="81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ht="15.75" hidden="1" customHeight="1" outlineLevel="1">
      <c r="A26" s="95" t="s">
        <v>48</v>
      </c>
      <c r="B26" s="37" t="s">
        <v>84</v>
      </c>
      <c r="C26" s="38" t="s">
        <v>52</v>
      </c>
      <c r="D26" s="37" t="s">
        <v>53</v>
      </c>
      <c r="E26" s="96" t="s">
        <v>54</v>
      </c>
      <c r="F26" s="39" t="s">
        <v>55</v>
      </c>
      <c r="G26" s="18"/>
      <c r="H26" s="37" t="s">
        <v>56</v>
      </c>
      <c r="I26" s="41" t="s">
        <v>57</v>
      </c>
      <c r="J26" s="41" t="s">
        <v>87</v>
      </c>
      <c r="K26" s="41" t="s">
        <v>88</v>
      </c>
      <c r="L26" s="41" t="s">
        <v>89</v>
      </c>
      <c r="M26" s="41" t="s">
        <v>90</v>
      </c>
      <c r="N26" s="83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ht="15.75" hidden="1" customHeight="1" outlineLevel="1">
      <c r="A27" s="16" t="s">
        <v>8</v>
      </c>
      <c r="B27" s="42">
        <f t="shared" ref="B27:B29" si="6">B16</f>
        <v>50000</v>
      </c>
      <c r="C27" s="44">
        <v>47897.0</v>
      </c>
      <c r="D27" s="46">
        <f t="shared" ref="D27:D29" si="7">IFERROR(ROUNDDOWN(C27/B27, 2), 0)</f>
        <v>0.95</v>
      </c>
      <c r="E27" s="44">
        <v>250.0</v>
      </c>
      <c r="F27" s="67">
        <f t="shared" ref="F27:F29" si="8">ROUNDDOWN(E27*D27,0)</f>
        <v>237</v>
      </c>
      <c r="G27" s="18"/>
      <c r="H27" s="81"/>
      <c r="I27" s="16">
        <v>23.69</v>
      </c>
      <c r="J27" s="85">
        <v>31985.54</v>
      </c>
      <c r="K27" s="16">
        <v>69.16</v>
      </c>
      <c r="L27" s="85">
        <v>14264.0</v>
      </c>
      <c r="M27" s="16">
        <v>30.84</v>
      </c>
      <c r="N27" s="16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ht="15.75" hidden="1" customHeight="1" outlineLevel="1">
      <c r="A28" s="16" t="s">
        <v>42</v>
      </c>
      <c r="B28" s="42">
        <f t="shared" si="6"/>
        <v>50000</v>
      </c>
      <c r="C28" s="44">
        <v>41603.0</v>
      </c>
      <c r="D28" s="46">
        <f t="shared" si="7"/>
        <v>0.83</v>
      </c>
      <c r="E28" s="44">
        <v>150.0</v>
      </c>
      <c r="F28" s="67">
        <f t="shared" si="8"/>
        <v>124</v>
      </c>
      <c r="G28" s="18"/>
      <c r="H28" s="81"/>
      <c r="I28" s="54">
        <v>22.12</v>
      </c>
      <c r="J28" s="88">
        <v>28110.4</v>
      </c>
      <c r="K28" s="54">
        <v>61.53</v>
      </c>
      <c r="L28" s="88">
        <v>17572.0</v>
      </c>
      <c r="M28" s="54">
        <v>38.47</v>
      </c>
      <c r="N28" s="16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ht="15.75" hidden="1" customHeight="1" outlineLevel="1">
      <c r="A29" s="16" t="s">
        <v>73</v>
      </c>
      <c r="B29" s="42">
        <f t="shared" si="6"/>
        <v>12000</v>
      </c>
      <c r="C29" s="44">
        <v>10667.0</v>
      </c>
      <c r="D29" s="46">
        <f t="shared" si="7"/>
        <v>0.88</v>
      </c>
      <c r="E29" s="44">
        <v>100.0</v>
      </c>
      <c r="F29" s="67">
        <f t="shared" si="8"/>
        <v>88</v>
      </c>
      <c r="G29" s="18"/>
      <c r="H29" s="17"/>
      <c r="I29" s="18">
        <v>24.58</v>
      </c>
      <c r="J29" s="68">
        <v>6817.5</v>
      </c>
      <c r="K29" s="36">
        <v>68.49</v>
      </c>
      <c r="L29" s="68">
        <v>3137.0</v>
      </c>
      <c r="M29" s="36">
        <v>31.51</v>
      </c>
      <c r="N29" s="16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ht="15.75" hidden="1" customHeight="1" outlineLevel="1">
      <c r="A30" s="18"/>
      <c r="B30" s="18"/>
      <c r="C30" s="71"/>
      <c r="D30" s="18"/>
      <c r="E30" s="71"/>
      <c r="F30" s="67"/>
      <c r="G30" s="18"/>
      <c r="H30" s="61">
        <f>SUM(C27:C29)</f>
        <v>100167</v>
      </c>
      <c r="I30" s="18"/>
      <c r="J30" s="18"/>
      <c r="K30" s="18"/>
      <c r="L30" s="18"/>
      <c r="M30" s="18"/>
      <c r="N30" s="16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ht="15.75" hidden="1" customHeight="1" outlineLevel="1">
      <c r="A31" s="18"/>
      <c r="B31" s="18"/>
      <c r="C31" s="71"/>
      <c r="D31" s="98" t="s">
        <v>81</v>
      </c>
      <c r="E31" s="99" t="s">
        <v>82</v>
      </c>
      <c r="F31" s="100">
        <f>SUM(F27:F29)</f>
        <v>449</v>
      </c>
      <c r="G31" s="18"/>
      <c r="H31" s="17"/>
      <c r="I31" s="18"/>
      <c r="J31" s="18"/>
      <c r="K31" s="18"/>
      <c r="L31" s="18"/>
      <c r="M31" s="18"/>
      <c r="N31" s="16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15.75" hidden="1" customHeight="1" outlineLevel="1">
      <c r="A32" s="18"/>
      <c r="B32" s="18"/>
      <c r="C32" s="71"/>
      <c r="D32" s="18"/>
      <c r="E32" s="71"/>
      <c r="F32" s="71"/>
      <c r="G32" s="18"/>
      <c r="H32" s="17"/>
      <c r="I32" s="18"/>
      <c r="J32" s="18"/>
      <c r="K32" s="18"/>
      <c r="L32" s="18"/>
      <c r="M32" s="18"/>
      <c r="N32" s="16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15.75" hidden="1" customHeight="1" outlineLevel="1">
      <c r="A33" s="18"/>
      <c r="B33" s="18"/>
      <c r="C33" s="71"/>
      <c r="D33" s="18"/>
      <c r="E33" s="71"/>
      <c r="F33" s="71"/>
      <c r="G33" s="18"/>
      <c r="H33" s="17"/>
      <c r="I33" s="18"/>
      <c r="J33" s="18"/>
      <c r="K33" s="18"/>
      <c r="L33" s="18"/>
      <c r="M33" s="18"/>
      <c r="N33" s="16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15.75" customHeight="1">
      <c r="A34" s="18"/>
      <c r="B34" s="18"/>
      <c r="C34" s="71"/>
      <c r="D34" s="18"/>
      <c r="E34" s="71"/>
      <c r="F34" s="71"/>
      <c r="G34" s="18"/>
      <c r="H34" s="17"/>
      <c r="I34" s="18"/>
      <c r="J34" s="18"/>
      <c r="K34" s="18"/>
      <c r="L34" s="18"/>
      <c r="M34" s="18"/>
      <c r="N34" s="16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15.75" customHeight="1" collapsed="1">
      <c r="A35" s="19" t="s">
        <v>92</v>
      </c>
      <c r="G35" s="18"/>
      <c r="H35" s="101"/>
      <c r="I35" s="101"/>
      <c r="J35" s="101"/>
      <c r="K35" s="101"/>
      <c r="L35" s="101"/>
      <c r="M35" s="101"/>
      <c r="N35" s="102"/>
      <c r="O35" s="103"/>
      <c r="P35" s="103"/>
      <c r="Q35" s="103"/>
      <c r="R35" s="82"/>
      <c r="S35" s="18"/>
      <c r="T35" s="18"/>
      <c r="U35" s="18"/>
      <c r="V35" s="18"/>
      <c r="W35" s="18"/>
      <c r="X35" s="18"/>
      <c r="Y35" s="18"/>
    </row>
    <row r="36" ht="15.75" hidden="1" customHeight="1" outlineLevel="1">
      <c r="A36" s="93"/>
      <c r="B36" s="93"/>
      <c r="C36" s="94"/>
      <c r="D36" s="93"/>
      <c r="E36" s="94"/>
      <c r="F36" s="94"/>
      <c r="G36" s="18"/>
      <c r="H36" s="104"/>
      <c r="I36" s="104"/>
      <c r="J36" s="104"/>
      <c r="K36" s="104"/>
      <c r="L36" s="104"/>
      <c r="M36" s="104"/>
      <c r="N36" s="102"/>
      <c r="O36" s="104"/>
      <c r="P36" s="104"/>
      <c r="Q36" s="104"/>
      <c r="R36" s="18"/>
      <c r="S36" s="18"/>
      <c r="T36" s="18"/>
      <c r="U36" s="18"/>
      <c r="V36" s="18"/>
      <c r="W36" s="18"/>
      <c r="X36" s="18"/>
      <c r="Y36" s="18"/>
    </row>
    <row r="37" ht="15.75" hidden="1" customHeight="1" outlineLevel="1">
      <c r="A37" s="105" t="s">
        <v>48</v>
      </c>
      <c r="B37" s="105" t="s">
        <v>84</v>
      </c>
      <c r="C37" s="106" t="s">
        <v>52</v>
      </c>
      <c r="D37" s="105" t="s">
        <v>53</v>
      </c>
      <c r="E37" s="107" t="s">
        <v>54</v>
      </c>
      <c r="F37" s="108" t="s">
        <v>55</v>
      </c>
      <c r="G37" s="109"/>
      <c r="H37" s="110" t="s">
        <v>56</v>
      </c>
      <c r="I37" s="111" t="s">
        <v>57</v>
      </c>
      <c r="J37" s="111" t="s">
        <v>58</v>
      </c>
      <c r="K37" s="111" t="s">
        <v>60</v>
      </c>
      <c r="L37" s="111" t="s">
        <v>61</v>
      </c>
      <c r="M37" s="111" t="s">
        <v>63</v>
      </c>
      <c r="N37" s="112" t="s">
        <v>93</v>
      </c>
      <c r="O37" s="113" t="s">
        <v>94</v>
      </c>
      <c r="P37" s="113" t="s">
        <v>95</v>
      </c>
      <c r="Q37" s="113" t="s">
        <v>96</v>
      </c>
      <c r="R37" s="18"/>
      <c r="S37" s="18"/>
      <c r="T37" s="18"/>
      <c r="U37" s="18"/>
      <c r="V37" s="18"/>
      <c r="W37" s="18"/>
      <c r="X37" s="18"/>
      <c r="Y37" s="18"/>
    </row>
    <row r="38" ht="15.75" hidden="1" customHeight="1" outlineLevel="1">
      <c r="A38" s="16" t="s">
        <v>8</v>
      </c>
      <c r="B38" s="42">
        <v>55000.0</v>
      </c>
      <c r="C38" s="44">
        <v>35000.0</v>
      </c>
      <c r="D38" s="46">
        <f t="shared" ref="D38:D40" si="9">FLOOR(C38/B38,0.01)</f>
        <v>0.63</v>
      </c>
      <c r="E38" s="44">
        <v>250.0</v>
      </c>
      <c r="F38" s="84">
        <f t="shared" ref="F38:F40" si="10">E38*D38</f>
        <v>157.5</v>
      </c>
      <c r="G38" s="18"/>
      <c r="H38" s="104"/>
      <c r="I38" s="114">
        <v>21.66</v>
      </c>
      <c r="J38" s="115">
        <v>28067.3</v>
      </c>
      <c r="K38" s="15">
        <v>69.48</v>
      </c>
      <c r="L38" s="115">
        <v>12326.5</v>
      </c>
      <c r="M38" s="15">
        <v>30.52</v>
      </c>
      <c r="N38" s="116">
        <v>10.0</v>
      </c>
      <c r="O38" s="117">
        <v>39.0</v>
      </c>
      <c r="P38" s="117">
        <v>356.0</v>
      </c>
      <c r="Q38" s="115">
        <v>1615.07</v>
      </c>
      <c r="R38" s="18"/>
      <c r="S38" s="18"/>
      <c r="T38" s="18"/>
      <c r="U38" s="18"/>
      <c r="V38" s="18"/>
      <c r="W38" s="18"/>
      <c r="X38" s="18"/>
      <c r="Y38" s="18"/>
    </row>
    <row r="39" ht="15.75" hidden="1" customHeight="1" outlineLevel="1">
      <c r="A39" s="16" t="s">
        <v>42</v>
      </c>
      <c r="B39" s="42">
        <v>52000.0</v>
      </c>
      <c r="C39" s="44">
        <v>43569.0</v>
      </c>
      <c r="D39" s="46">
        <f t="shared" si="9"/>
        <v>0.83</v>
      </c>
      <c r="E39" s="44">
        <v>150.0</v>
      </c>
      <c r="F39" s="84">
        <f t="shared" si="10"/>
        <v>124.5</v>
      </c>
      <c r="G39" s="16"/>
      <c r="H39" s="102"/>
      <c r="I39" s="114">
        <v>21.66</v>
      </c>
      <c r="J39" s="115">
        <v>21867.93</v>
      </c>
      <c r="K39" s="15">
        <v>56.52</v>
      </c>
      <c r="L39" s="115">
        <v>16824.87</v>
      </c>
      <c r="M39" s="15">
        <v>43.48</v>
      </c>
      <c r="N39" s="116">
        <v>2.0</v>
      </c>
      <c r="O39" s="116">
        <v>32.0</v>
      </c>
      <c r="P39" s="116">
        <v>462.0</v>
      </c>
      <c r="Q39" s="118">
        <v>1547.71</v>
      </c>
      <c r="R39" s="18"/>
      <c r="S39" s="18"/>
      <c r="T39" s="18"/>
      <c r="U39" s="18"/>
      <c r="V39" s="18"/>
      <c r="W39" s="18"/>
      <c r="X39" s="18"/>
      <c r="Y39" s="18"/>
    </row>
    <row r="40" ht="15.75" hidden="1" customHeight="1" outlineLevel="1">
      <c r="A40" s="16" t="s">
        <v>73</v>
      </c>
      <c r="B40" s="42">
        <v>15000.0</v>
      </c>
      <c r="C40" s="44">
        <v>8526.0</v>
      </c>
      <c r="D40" s="46">
        <f t="shared" si="9"/>
        <v>0.56</v>
      </c>
      <c r="E40" s="44">
        <v>100.0</v>
      </c>
      <c r="F40" s="84">
        <f t="shared" si="10"/>
        <v>56</v>
      </c>
      <c r="G40" s="18"/>
      <c r="H40" s="17"/>
      <c r="I40" s="119">
        <v>21.94</v>
      </c>
      <c r="J40" s="120">
        <v>6281.5</v>
      </c>
      <c r="K40" s="18">
        <v>66.89</v>
      </c>
      <c r="L40" s="120">
        <v>3109.5</v>
      </c>
      <c r="M40" s="18">
        <v>33.11</v>
      </c>
      <c r="N40" s="16">
        <v>2.0</v>
      </c>
      <c r="O40" s="18">
        <v>25.0</v>
      </c>
      <c r="P40" s="18">
        <v>120.0</v>
      </c>
      <c r="Q40" s="18">
        <v>375.64</v>
      </c>
      <c r="R40" s="18"/>
      <c r="S40" s="18"/>
      <c r="T40" s="18"/>
      <c r="U40" s="18"/>
      <c r="V40" s="18"/>
      <c r="W40" s="18"/>
      <c r="X40" s="18"/>
      <c r="Y40" s="18"/>
    </row>
    <row r="41" ht="15.75" hidden="1" customHeight="1" outlineLevel="1">
      <c r="A41" s="18"/>
      <c r="B41" s="18"/>
      <c r="C41" s="71"/>
      <c r="D41" s="18"/>
      <c r="E41" s="71"/>
      <c r="F41" s="71"/>
      <c r="G41" s="18"/>
      <c r="H41" s="61">
        <f>SUM(C38:C40)</f>
        <v>87095</v>
      </c>
      <c r="I41" s="18"/>
      <c r="J41" s="18"/>
      <c r="K41" s="18"/>
      <c r="L41" s="18"/>
      <c r="M41" s="18"/>
      <c r="N41" s="16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15.75" hidden="1" customHeight="1" outlineLevel="1">
      <c r="A42" s="18"/>
      <c r="B42" s="18"/>
      <c r="C42" s="71"/>
      <c r="D42" s="121" t="s">
        <v>81</v>
      </c>
      <c r="E42" s="122" t="s">
        <v>82</v>
      </c>
      <c r="F42" s="123">
        <f>SUM(F38:F40)</f>
        <v>338</v>
      </c>
      <c r="G42" s="18"/>
      <c r="H42" s="17"/>
      <c r="I42" s="18"/>
      <c r="J42" s="18"/>
      <c r="K42" s="18"/>
      <c r="L42" s="18"/>
      <c r="M42" s="18"/>
      <c r="N42" s="16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15.75" hidden="1" customHeight="1" outlineLevel="1">
      <c r="A43" s="18"/>
      <c r="B43" s="18"/>
      <c r="C43" s="71"/>
      <c r="D43" s="18"/>
      <c r="E43" s="71"/>
      <c r="F43" s="71"/>
      <c r="G43" s="18"/>
      <c r="H43" s="17"/>
      <c r="I43" s="18"/>
      <c r="J43" s="18"/>
      <c r="K43" s="18"/>
      <c r="L43" s="18"/>
      <c r="M43" s="18"/>
      <c r="N43" s="16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ht="15.75" customHeight="1">
      <c r="A44" s="18"/>
      <c r="B44" s="18"/>
      <c r="C44" s="71"/>
      <c r="D44" s="18"/>
      <c r="E44" s="71"/>
      <c r="F44" s="71"/>
      <c r="G44" s="18"/>
      <c r="H44" s="17"/>
      <c r="I44" s="18"/>
      <c r="J44" s="18"/>
      <c r="K44" s="18"/>
      <c r="L44" s="18"/>
      <c r="M44" s="18"/>
      <c r="N44" s="16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5.75" customHeight="1">
      <c r="A45" s="19" t="s">
        <v>97</v>
      </c>
      <c r="G45" s="18"/>
      <c r="H45" s="101"/>
      <c r="I45" s="101"/>
      <c r="J45" s="101"/>
      <c r="K45" s="101"/>
      <c r="L45" s="101"/>
      <c r="M45" s="101"/>
      <c r="N45" s="16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ht="15.75" customHeight="1" collapsed="1">
      <c r="A46" s="93"/>
      <c r="B46" s="93"/>
      <c r="C46" s="94"/>
      <c r="D46" s="93"/>
      <c r="E46" s="94"/>
      <c r="F46" s="94"/>
      <c r="G46" s="18"/>
      <c r="H46" s="104"/>
      <c r="I46" s="104"/>
      <c r="J46" s="104"/>
      <c r="K46" s="104"/>
      <c r="L46" s="104"/>
      <c r="M46" s="104"/>
      <c r="N46" s="16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ht="15.75" hidden="1" customHeight="1" outlineLevel="1">
      <c r="A47" s="105" t="s">
        <v>48</v>
      </c>
      <c r="B47" s="105" t="s">
        <v>84</v>
      </c>
      <c r="C47" s="108" t="s">
        <v>52</v>
      </c>
      <c r="D47" s="105" t="s">
        <v>53</v>
      </c>
      <c r="E47" s="107" t="s">
        <v>54</v>
      </c>
      <c r="F47" s="108" t="s">
        <v>55</v>
      </c>
      <c r="G47" s="109"/>
      <c r="H47" s="110" t="s">
        <v>56</v>
      </c>
      <c r="I47" s="111" t="s">
        <v>57</v>
      </c>
      <c r="J47" s="111" t="s">
        <v>58</v>
      </c>
      <c r="K47" s="111" t="s">
        <v>60</v>
      </c>
      <c r="L47" s="111" t="s">
        <v>61</v>
      </c>
      <c r="M47" s="111" t="s">
        <v>63</v>
      </c>
      <c r="N47" s="124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</row>
    <row r="48" ht="15.75" hidden="1" customHeight="1" outlineLevel="1">
      <c r="A48" s="16" t="s">
        <v>8</v>
      </c>
      <c r="B48" s="42">
        <v>55000.0</v>
      </c>
      <c r="C48" s="44">
        <v>47046.0</v>
      </c>
      <c r="D48" s="46">
        <f t="shared" ref="D48:D50" si="11">IFERROR(ROUNDDOWN(C48/B48, 2), 0)</f>
        <v>0.85</v>
      </c>
      <c r="E48" s="44">
        <v>250.0</v>
      </c>
      <c r="F48" s="44">
        <f t="shared" ref="F48:F50" si="12">ROUNDDOWN(E48*D48,0)</f>
        <v>212</v>
      </c>
      <c r="G48" s="18"/>
      <c r="H48" s="104"/>
      <c r="I48" s="114">
        <f>'REFERENCIA PML'!C7</f>
        <v>26.95</v>
      </c>
      <c r="J48" s="115">
        <v>29434.91</v>
      </c>
      <c r="K48" s="15">
        <v>66.15</v>
      </c>
      <c r="L48" s="115">
        <v>15061.9</v>
      </c>
      <c r="M48" s="15">
        <v>33.85</v>
      </c>
      <c r="N48" s="16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ht="15.75" hidden="1" customHeight="1" outlineLevel="1">
      <c r="A49" s="54" t="s">
        <v>42</v>
      </c>
      <c r="B49" s="55">
        <v>52000.0</v>
      </c>
      <c r="C49" s="57">
        <v>47730.0</v>
      </c>
      <c r="D49" s="58">
        <f t="shared" si="11"/>
        <v>0.91</v>
      </c>
      <c r="E49" s="57">
        <v>150.0</v>
      </c>
      <c r="F49" s="57">
        <f t="shared" si="12"/>
        <v>136</v>
      </c>
      <c r="G49" s="16"/>
      <c r="H49" s="128"/>
      <c r="I49" s="130">
        <f>'REFERENCIA PML'!C14</f>
        <v>25.84</v>
      </c>
      <c r="J49" s="115">
        <v>31537.95</v>
      </c>
      <c r="K49" s="15">
        <v>61.11</v>
      </c>
      <c r="L49" s="115">
        <v>20073.1</v>
      </c>
      <c r="M49" s="15">
        <v>38.89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75" hidden="1" customHeight="1" outlineLevel="1">
      <c r="A50" s="16" t="s">
        <v>73</v>
      </c>
      <c r="B50" s="42">
        <v>15000.0</v>
      </c>
      <c r="C50" s="44">
        <v>10988.0</v>
      </c>
      <c r="D50" s="46">
        <f t="shared" si="11"/>
        <v>0.73</v>
      </c>
      <c r="E50" s="44">
        <v>100.0</v>
      </c>
      <c r="F50" s="44">
        <f t="shared" si="12"/>
        <v>73</v>
      </c>
      <c r="G50" s="18"/>
      <c r="H50" s="17"/>
      <c r="I50" s="119">
        <f>'REFERENCIA PML'!C21</f>
        <v>25.34</v>
      </c>
      <c r="J50" s="68">
        <v>5966.5</v>
      </c>
      <c r="K50" s="36">
        <v>54.51</v>
      </c>
      <c r="L50" s="68">
        <v>4978.5</v>
      </c>
      <c r="M50" s="36">
        <v>45.49</v>
      </c>
      <c r="N50" s="16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ht="15.75" hidden="1" customHeight="1" outlineLevel="1">
      <c r="A51" s="18"/>
      <c r="B51" s="18"/>
      <c r="C51" s="71"/>
      <c r="D51" s="18"/>
      <c r="E51" s="71"/>
      <c r="F51" s="71"/>
      <c r="G51" s="18"/>
      <c r="H51" s="61">
        <f>SUM(C48:C50)</f>
        <v>105764</v>
      </c>
      <c r="I51" s="18"/>
      <c r="J51" s="18"/>
      <c r="K51" s="18"/>
      <c r="L51" s="18"/>
      <c r="M51" s="18"/>
      <c r="N51" s="16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ht="15.75" hidden="1" customHeight="1" outlineLevel="1">
      <c r="A52" s="18"/>
      <c r="B52" s="18"/>
      <c r="C52" s="71"/>
      <c r="D52" s="78" t="s">
        <v>81</v>
      </c>
      <c r="E52" s="79" t="s">
        <v>82</v>
      </c>
      <c r="F52" s="80">
        <f>SUM(F48:F50)</f>
        <v>421</v>
      </c>
      <c r="G52" s="18"/>
      <c r="H52" s="17"/>
      <c r="I52" s="18"/>
      <c r="J52" s="18"/>
      <c r="K52" s="18"/>
      <c r="L52" s="18"/>
      <c r="M52" s="18"/>
      <c r="N52" s="16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ht="15.75" hidden="1" customHeight="1" outlineLevel="1">
      <c r="A53" s="18"/>
      <c r="B53" s="18"/>
      <c r="C53" s="71"/>
      <c r="D53" s="18"/>
      <c r="E53" s="71"/>
      <c r="F53" s="71"/>
      <c r="G53" s="18"/>
      <c r="H53" s="17"/>
      <c r="I53" s="18"/>
      <c r="J53" s="18"/>
      <c r="K53" s="18"/>
      <c r="L53" s="18"/>
      <c r="M53" s="18"/>
      <c r="N53" s="16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ht="15.75" hidden="1" customHeight="1" outlineLevel="1">
      <c r="A54" s="18"/>
      <c r="B54" s="18"/>
      <c r="C54" s="71"/>
      <c r="D54" s="18"/>
      <c r="E54" s="71"/>
      <c r="F54" s="71"/>
      <c r="G54" s="18"/>
      <c r="H54" s="17"/>
      <c r="I54" s="18"/>
      <c r="J54" s="18"/>
      <c r="K54" s="18"/>
      <c r="L54" s="18"/>
      <c r="M54" s="18"/>
      <c r="N54" s="16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ht="15.75" customHeight="1">
      <c r="A55" s="19" t="s">
        <v>99</v>
      </c>
      <c r="G55" s="18"/>
      <c r="H55" s="101"/>
      <c r="I55" s="101"/>
      <c r="J55" s="101"/>
      <c r="K55" s="101"/>
      <c r="L55" s="101"/>
      <c r="M55" s="101"/>
      <c r="N55" s="16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15.75" customHeight="1" collapsed="1">
      <c r="A56" s="93"/>
      <c r="B56" s="93"/>
      <c r="C56" s="94"/>
      <c r="D56" s="93"/>
      <c r="E56" s="94"/>
      <c r="F56" s="94"/>
      <c r="G56" s="18"/>
      <c r="H56" s="104"/>
      <c r="I56" s="104"/>
      <c r="J56" s="104"/>
      <c r="K56" s="104"/>
      <c r="L56" s="104"/>
      <c r="M56" s="104"/>
      <c r="N56" s="16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ht="15.75" hidden="1" customHeight="1" outlineLevel="1">
      <c r="A57" s="136" t="s">
        <v>48</v>
      </c>
      <c r="B57" s="37" t="s">
        <v>84</v>
      </c>
      <c r="C57" s="39" t="s">
        <v>100</v>
      </c>
      <c r="D57" s="37" t="s">
        <v>53</v>
      </c>
      <c r="E57" s="96" t="s">
        <v>54</v>
      </c>
      <c r="F57" s="39" t="s">
        <v>55</v>
      </c>
      <c r="G57" s="18"/>
      <c r="H57" s="137" t="s">
        <v>56</v>
      </c>
      <c r="I57" s="138" t="s">
        <v>57</v>
      </c>
      <c r="J57" s="138" t="s">
        <v>58</v>
      </c>
      <c r="K57" s="138" t="s">
        <v>60</v>
      </c>
      <c r="L57" s="138" t="s">
        <v>61</v>
      </c>
      <c r="M57" s="138" t="s">
        <v>63</v>
      </c>
      <c r="N57" s="16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ht="15.75" hidden="1" customHeight="1" outlineLevel="1">
      <c r="A58" s="16" t="s">
        <v>8</v>
      </c>
      <c r="B58" s="42">
        <v>59000.0</v>
      </c>
      <c r="C58" s="44">
        <v>39322.0</v>
      </c>
      <c r="D58" s="46">
        <f t="shared" ref="D58:D60" si="13">FLOOR(C58/B58,0.01)</f>
        <v>0.66</v>
      </c>
      <c r="E58" s="44">
        <v>250.0</v>
      </c>
      <c r="F58" s="44">
        <f t="shared" ref="F58:F60" si="14">TRUNC(E58*D58, 0)</f>
        <v>165</v>
      </c>
      <c r="G58" s="18"/>
      <c r="H58" s="104"/>
      <c r="I58" s="104">
        <v>25.71</v>
      </c>
      <c r="J58" s="139">
        <v>27033.86</v>
      </c>
      <c r="K58" s="104">
        <v>66.43</v>
      </c>
      <c r="L58" s="139">
        <v>13662.94</v>
      </c>
      <c r="M58" s="104">
        <v>33.57</v>
      </c>
      <c r="N58" s="16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ht="15.75" hidden="1" customHeight="1" outlineLevel="1">
      <c r="A59" s="54" t="s">
        <v>42</v>
      </c>
      <c r="B59" s="55">
        <v>54000.0</v>
      </c>
      <c r="C59" s="57">
        <v>47685.0</v>
      </c>
      <c r="D59" s="58">
        <f t="shared" si="13"/>
        <v>0.88</v>
      </c>
      <c r="E59" s="57">
        <v>150.0</v>
      </c>
      <c r="F59" s="57">
        <f t="shared" si="14"/>
        <v>132</v>
      </c>
      <c r="G59" s="18"/>
      <c r="H59" s="128"/>
      <c r="I59" s="128">
        <v>24.18</v>
      </c>
      <c r="J59" s="140">
        <v>25502.94</v>
      </c>
      <c r="K59" s="128">
        <v>57.52</v>
      </c>
      <c r="L59" s="140">
        <v>18837.87</v>
      </c>
      <c r="M59" s="128">
        <v>42.48</v>
      </c>
      <c r="N59" s="16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ht="15.75" hidden="1" customHeight="1" outlineLevel="1">
      <c r="A60" s="16" t="s">
        <v>73</v>
      </c>
      <c r="B60" s="42">
        <v>16000.0</v>
      </c>
      <c r="C60" s="44">
        <v>10917.0</v>
      </c>
      <c r="D60" s="46">
        <f t="shared" si="13"/>
        <v>0.68</v>
      </c>
      <c r="E60" s="44">
        <v>100.0</v>
      </c>
      <c r="F60" s="44">
        <f t="shared" si="14"/>
        <v>68</v>
      </c>
      <c r="G60" s="18"/>
      <c r="H60" s="128"/>
      <c r="I60" s="128">
        <v>26.36</v>
      </c>
      <c r="J60" s="140">
        <v>5665.0</v>
      </c>
      <c r="K60" s="128">
        <v>52.76</v>
      </c>
      <c r="L60" s="140">
        <v>5072.5</v>
      </c>
      <c r="M60" s="128">
        <v>47.24</v>
      </c>
      <c r="N60" s="16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ht="15.75" hidden="1" customHeight="1" outlineLevel="1">
      <c r="A61" s="18"/>
      <c r="B61" s="18"/>
      <c r="C61" s="71"/>
      <c r="D61" s="18"/>
      <c r="E61" s="71"/>
      <c r="F61" s="71"/>
      <c r="G61" s="18"/>
      <c r="H61" s="61">
        <f>SUM(C58:C60)</f>
        <v>97924</v>
      </c>
      <c r="I61" s="18"/>
      <c r="J61" s="18"/>
      <c r="K61" s="18"/>
      <c r="L61" s="18"/>
      <c r="M61" s="18"/>
      <c r="N61" s="16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ht="15.75" hidden="1" customHeight="1" outlineLevel="1">
      <c r="A62" s="18"/>
      <c r="B62" s="18"/>
      <c r="C62" s="71"/>
      <c r="D62" s="98" t="s">
        <v>81</v>
      </c>
      <c r="E62" s="99" t="s">
        <v>82</v>
      </c>
      <c r="F62" s="141">
        <f>SUM(F58:F60)</f>
        <v>365</v>
      </c>
      <c r="G62" s="18"/>
      <c r="H62" s="17"/>
      <c r="I62" s="18"/>
      <c r="J62" s="18"/>
      <c r="K62" s="18"/>
      <c r="L62" s="18"/>
      <c r="M62" s="18"/>
      <c r="N62" s="16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ht="15.75" hidden="1" customHeight="1" outlineLevel="1">
      <c r="A63" s="18"/>
      <c r="B63" s="18"/>
      <c r="C63" s="71"/>
      <c r="D63" s="18"/>
      <c r="E63" s="71"/>
      <c r="F63" s="71"/>
      <c r="G63" s="18"/>
      <c r="H63" s="17"/>
      <c r="I63" s="18"/>
      <c r="J63" s="18"/>
      <c r="K63" s="18"/>
      <c r="L63" s="18"/>
      <c r="M63" s="18"/>
      <c r="N63" s="16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ht="15.75" hidden="1" customHeight="1" outlineLevel="1">
      <c r="A64" s="18"/>
      <c r="B64" s="18"/>
      <c r="C64" s="71"/>
      <c r="D64" s="18"/>
      <c r="E64" s="71"/>
      <c r="F64" s="71"/>
      <c r="G64" s="18"/>
      <c r="H64" s="17"/>
      <c r="I64" s="18"/>
      <c r="J64" s="18"/>
      <c r="K64" s="18"/>
      <c r="L64" s="18"/>
      <c r="M64" s="18"/>
      <c r="N64" s="16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ht="15.75" customHeight="1">
      <c r="A65" s="19" t="s">
        <v>101</v>
      </c>
      <c r="G65" s="18"/>
      <c r="H65" s="101"/>
      <c r="I65" s="101"/>
      <c r="J65" s="101"/>
      <c r="K65" s="101"/>
      <c r="L65" s="101"/>
      <c r="M65" s="101"/>
      <c r="N65" s="16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ht="15.75" customHeight="1">
      <c r="A66" s="93"/>
      <c r="B66" s="93"/>
      <c r="C66" s="94"/>
      <c r="D66" s="93"/>
      <c r="E66" s="94"/>
      <c r="F66" s="94"/>
      <c r="G66" s="18"/>
      <c r="H66" s="104"/>
      <c r="I66" s="104"/>
      <c r="J66" s="104"/>
      <c r="K66" s="104"/>
      <c r="L66" s="104"/>
      <c r="M66" s="104"/>
      <c r="N66" s="16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ht="15.75" customHeight="1">
      <c r="A67" s="93" t="s">
        <v>48</v>
      </c>
      <c r="B67" s="144" t="s">
        <v>84</v>
      </c>
      <c r="C67" s="146" t="s">
        <v>100</v>
      </c>
      <c r="D67" s="144" t="s">
        <v>53</v>
      </c>
      <c r="E67" s="147" t="s">
        <v>54</v>
      </c>
      <c r="F67" s="146" t="s">
        <v>55</v>
      </c>
      <c r="G67" s="18"/>
      <c r="H67" s="137" t="s">
        <v>56</v>
      </c>
      <c r="I67" s="138" t="s">
        <v>57</v>
      </c>
      <c r="J67" s="138" t="s">
        <v>58</v>
      </c>
      <c r="K67" s="138" t="s">
        <v>60</v>
      </c>
      <c r="L67" s="138" t="s">
        <v>61</v>
      </c>
      <c r="M67" s="138" t="s">
        <v>63</v>
      </c>
      <c r="N67" s="16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ht="15.75" customHeight="1">
      <c r="A68" s="16" t="s">
        <v>8</v>
      </c>
      <c r="B68" s="42">
        <v>55000.0</v>
      </c>
      <c r="C68" s="44">
        <v>42303.0</v>
      </c>
      <c r="D68" s="46">
        <f t="shared" ref="D68:D70" si="15">IFERROR(ROUNDDOWN(C68/B68, 2), 0)</f>
        <v>0.76</v>
      </c>
      <c r="E68" s="44">
        <v>250.0</v>
      </c>
      <c r="F68" s="44">
        <f t="shared" ref="F68:F70" si="16">TRUNC(E68*D68, 0)</f>
        <v>190</v>
      </c>
      <c r="G68" s="18"/>
      <c r="H68" s="104"/>
      <c r="I68" s="104">
        <v>23.15</v>
      </c>
      <c r="J68" s="104">
        <v>30661.65</v>
      </c>
      <c r="K68" s="104">
        <v>71.47</v>
      </c>
      <c r="L68" s="104">
        <v>12238.6</v>
      </c>
      <c r="M68" s="104">
        <v>28.53</v>
      </c>
      <c r="N68" s="16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ht="15.75" customHeight="1">
      <c r="A69" s="54" t="s">
        <v>42</v>
      </c>
      <c r="B69" s="55">
        <v>52000.0</v>
      </c>
      <c r="C69" s="57">
        <v>44968.0</v>
      </c>
      <c r="D69" s="149">
        <f t="shared" si="15"/>
        <v>0.86</v>
      </c>
      <c r="E69" s="57">
        <v>150.0</v>
      </c>
      <c r="F69" s="57">
        <f t="shared" si="16"/>
        <v>129</v>
      </c>
      <c r="G69" s="18"/>
      <c r="H69" s="128"/>
      <c r="I69" s="128">
        <v>24.42</v>
      </c>
      <c r="J69" s="128">
        <v>27788.45</v>
      </c>
      <c r="K69" s="128">
        <v>60.01</v>
      </c>
      <c r="L69" s="128">
        <v>18520.07</v>
      </c>
      <c r="M69" s="128">
        <v>39.99</v>
      </c>
      <c r="N69" s="16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15.75" customHeight="1">
      <c r="A70" s="16" t="s">
        <v>73</v>
      </c>
      <c r="B70" s="42">
        <v>15000.0</v>
      </c>
      <c r="C70" s="44">
        <v>9093.0</v>
      </c>
      <c r="D70" s="46">
        <f t="shared" si="15"/>
        <v>0.6</v>
      </c>
      <c r="E70" s="44">
        <v>100.0</v>
      </c>
      <c r="F70" s="44">
        <f t="shared" si="16"/>
        <v>60</v>
      </c>
      <c r="G70" s="18"/>
      <c r="H70" s="17"/>
      <c r="I70" s="18">
        <v>21.59</v>
      </c>
      <c r="J70" s="18">
        <v>7788.58</v>
      </c>
      <c r="K70" s="18">
        <v>71.72</v>
      </c>
      <c r="L70" s="18">
        <v>3070.72</v>
      </c>
      <c r="M70" s="18">
        <v>28.28</v>
      </c>
      <c r="N70" s="16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5.75" customHeight="1">
      <c r="A71" s="18"/>
      <c r="B71" s="18"/>
      <c r="C71" s="71"/>
      <c r="D71" s="18"/>
      <c r="E71" s="71"/>
      <c r="F71" s="71"/>
      <c r="G71" s="18"/>
      <c r="H71" s="61">
        <f>SUM(C68:C70)</f>
        <v>96364</v>
      </c>
      <c r="I71" s="18"/>
      <c r="J71" s="18"/>
      <c r="K71" s="18"/>
      <c r="L71" s="18"/>
      <c r="M71" s="18"/>
      <c r="N71" s="16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ht="15.75" customHeight="1">
      <c r="A72" s="18"/>
      <c r="B72" s="18"/>
      <c r="C72" s="71"/>
      <c r="D72" s="78" t="s">
        <v>81</v>
      </c>
      <c r="E72" s="79" t="s">
        <v>82</v>
      </c>
      <c r="F72" s="80">
        <f>SUM(F68:F70)</f>
        <v>379</v>
      </c>
      <c r="G72" s="18"/>
      <c r="H72" s="17"/>
      <c r="I72" s="18"/>
      <c r="J72" s="18"/>
      <c r="K72" s="18"/>
      <c r="L72" s="18"/>
      <c r="M72" s="18"/>
      <c r="N72" s="16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ht="15.75" customHeight="1">
      <c r="A73" s="11"/>
      <c r="B73" s="11"/>
      <c r="C73" s="11"/>
      <c r="D73" s="11"/>
      <c r="E73" s="11"/>
      <c r="F73" s="11"/>
      <c r="G73" s="16"/>
      <c r="H73" s="81"/>
      <c r="I73" s="81"/>
      <c r="J73" s="81"/>
      <c r="K73" s="81"/>
      <c r="L73" s="81"/>
      <c r="M73" s="81"/>
      <c r="N73" s="16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ht="15.75" customHeight="1">
      <c r="A74" s="11"/>
      <c r="B74" s="11"/>
      <c r="C74" s="11"/>
      <c r="D74" s="11"/>
      <c r="E74" s="11"/>
      <c r="F74" s="11"/>
      <c r="G74" s="16"/>
      <c r="H74" s="81"/>
      <c r="I74" s="81"/>
      <c r="J74" s="81"/>
      <c r="K74" s="81"/>
      <c r="L74" s="81"/>
      <c r="M74" s="81"/>
      <c r="N74" s="16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15.75" customHeight="1">
      <c r="A75" s="19" t="s">
        <v>105</v>
      </c>
      <c r="G75" s="18"/>
      <c r="H75" s="101"/>
      <c r="I75" s="101"/>
      <c r="J75" s="101"/>
      <c r="K75" s="101"/>
      <c r="L75" s="101"/>
      <c r="M75" s="101"/>
      <c r="N75" s="16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15.75" customHeight="1">
      <c r="A76" s="136" t="s">
        <v>48</v>
      </c>
      <c r="B76" s="37" t="s">
        <v>84</v>
      </c>
      <c r="C76" s="39" t="s">
        <v>100</v>
      </c>
      <c r="D76" s="37" t="s">
        <v>53</v>
      </c>
      <c r="E76" s="96" t="s">
        <v>54</v>
      </c>
      <c r="F76" s="39" t="s">
        <v>55</v>
      </c>
      <c r="G76" s="18"/>
      <c r="H76" s="137" t="s">
        <v>56</v>
      </c>
      <c r="I76" s="138" t="s">
        <v>57</v>
      </c>
      <c r="J76" s="138" t="s">
        <v>58</v>
      </c>
      <c r="K76" s="138" t="s">
        <v>60</v>
      </c>
      <c r="L76" s="138" t="s">
        <v>61</v>
      </c>
      <c r="M76" s="138" t="s">
        <v>63</v>
      </c>
      <c r="N76" s="16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15.75" customHeight="1">
      <c r="A77" s="16" t="s">
        <v>8</v>
      </c>
      <c r="B77" s="42">
        <v>59000.0</v>
      </c>
      <c r="C77" s="44">
        <v>0.0</v>
      </c>
      <c r="D77" s="46">
        <f t="shared" ref="D77:D79" si="17">FLOOR(C77/B77,0.01)</f>
        <v>0</v>
      </c>
      <c r="E77" s="44">
        <v>250.0</v>
      </c>
      <c r="F77" s="44">
        <f t="shared" ref="F77:F79" si="18">TRUNC(E77*D77, 0)</f>
        <v>0</v>
      </c>
      <c r="G77" s="18"/>
      <c r="H77" s="104"/>
      <c r="I77" s="104"/>
      <c r="J77" s="104"/>
      <c r="K77" s="104"/>
      <c r="L77" s="104"/>
      <c r="M77" s="104"/>
      <c r="N77" s="16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15.75" customHeight="1">
      <c r="A78" s="54" t="s">
        <v>42</v>
      </c>
      <c r="B78" s="55">
        <v>54000.0</v>
      </c>
      <c r="C78" s="57">
        <v>0.0</v>
      </c>
      <c r="D78" s="58">
        <f t="shared" si="17"/>
        <v>0</v>
      </c>
      <c r="E78" s="57">
        <v>150.0</v>
      </c>
      <c r="F78" s="57">
        <f t="shared" si="18"/>
        <v>0</v>
      </c>
      <c r="G78" s="18"/>
      <c r="H78" s="128"/>
      <c r="I78" s="128"/>
      <c r="J78" s="128"/>
      <c r="K78" s="128"/>
      <c r="L78" s="128"/>
      <c r="M78" s="128"/>
      <c r="N78" s="16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15.75" customHeight="1">
      <c r="A79" s="16" t="s">
        <v>73</v>
      </c>
      <c r="B79" s="42">
        <v>16000.0</v>
      </c>
      <c r="C79" s="44">
        <v>0.0</v>
      </c>
      <c r="D79" s="46">
        <f t="shared" si="17"/>
        <v>0</v>
      </c>
      <c r="E79" s="44">
        <v>100.0</v>
      </c>
      <c r="F79" s="44">
        <f t="shared" si="18"/>
        <v>0</v>
      </c>
      <c r="G79" s="18"/>
      <c r="H79" s="17"/>
      <c r="I79" s="18"/>
      <c r="J79" s="18"/>
      <c r="K79" s="18"/>
      <c r="L79" s="18"/>
      <c r="M79" s="18"/>
      <c r="N79" s="16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ht="15.75" customHeight="1">
      <c r="A80" s="18"/>
      <c r="B80" s="18"/>
      <c r="C80" s="71"/>
      <c r="D80" s="18"/>
      <c r="E80" s="71"/>
      <c r="F80" s="71"/>
      <c r="G80" s="18"/>
      <c r="H80" s="61">
        <f>SUM(C77:C79)</f>
        <v>0</v>
      </c>
      <c r="I80" s="18"/>
      <c r="J80" s="18"/>
      <c r="K80" s="18"/>
      <c r="L80" s="18"/>
      <c r="M80" s="18"/>
      <c r="N80" s="16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ht="15.75" customHeight="1">
      <c r="A81" s="18"/>
      <c r="B81" s="18"/>
      <c r="C81" s="71"/>
      <c r="D81" s="98" t="s">
        <v>81</v>
      </c>
      <c r="E81" s="99" t="s">
        <v>82</v>
      </c>
      <c r="F81" s="141">
        <f>SUM(F77:F79)</f>
        <v>0</v>
      </c>
      <c r="G81" s="18"/>
      <c r="H81" s="17"/>
      <c r="I81" s="18"/>
      <c r="J81" s="18"/>
      <c r="K81" s="18"/>
      <c r="L81" s="18"/>
      <c r="M81" s="18"/>
      <c r="N81" s="16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ht="15.75" customHeight="1">
      <c r="A82" s="18"/>
      <c r="B82" s="18"/>
      <c r="C82" s="71"/>
      <c r="D82" s="18"/>
      <c r="E82" s="71"/>
      <c r="F82" s="71"/>
      <c r="G82" s="18"/>
      <c r="H82" s="17"/>
      <c r="I82" s="18"/>
      <c r="J82" s="18"/>
      <c r="K82" s="18"/>
      <c r="L82" s="18"/>
      <c r="M82" s="18"/>
      <c r="N82" s="16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ht="15.75" customHeight="1">
      <c r="A83" s="18"/>
      <c r="B83" s="18"/>
      <c r="C83" s="71"/>
      <c r="D83" s="18"/>
      <c r="E83" s="71"/>
      <c r="F83" s="71"/>
      <c r="G83" s="18"/>
      <c r="H83" s="17"/>
      <c r="I83" s="18"/>
      <c r="J83" s="18"/>
      <c r="K83" s="18"/>
      <c r="L83" s="18"/>
      <c r="M83" s="18"/>
      <c r="N83" s="16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ht="15.75" customHeight="1">
      <c r="A84" s="18"/>
      <c r="B84" s="18"/>
      <c r="C84" s="71"/>
      <c r="D84" s="18"/>
      <c r="E84" s="71"/>
      <c r="F84" s="71"/>
      <c r="G84" s="18"/>
      <c r="H84" s="17"/>
      <c r="I84" s="18"/>
      <c r="J84" s="18"/>
      <c r="K84" s="18"/>
      <c r="L84" s="18"/>
      <c r="M84" s="18"/>
      <c r="N84" s="16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ht="15.75" customHeight="1">
      <c r="A85" s="18"/>
      <c r="B85" s="18"/>
      <c r="C85" s="71"/>
      <c r="D85" s="18"/>
      <c r="E85" s="71"/>
      <c r="F85" s="71"/>
      <c r="G85" s="18"/>
      <c r="H85" s="17"/>
      <c r="I85" s="18"/>
      <c r="J85" s="18"/>
      <c r="K85" s="18"/>
      <c r="L85" s="18"/>
      <c r="M85" s="18"/>
      <c r="N85" s="16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ht="15.75" customHeight="1">
      <c r="A86" s="18"/>
      <c r="B86" s="18"/>
      <c r="C86" s="71"/>
      <c r="D86" s="18"/>
      <c r="E86" s="71"/>
      <c r="F86" s="71"/>
      <c r="G86" s="18"/>
      <c r="H86" s="17"/>
      <c r="I86" s="18"/>
      <c r="J86" s="18"/>
      <c r="K86" s="18"/>
      <c r="L86" s="18"/>
      <c r="M86" s="18"/>
      <c r="N86" s="16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ht="15.75" customHeight="1">
      <c r="A87" s="18"/>
      <c r="B87" s="18"/>
      <c r="C87" s="71"/>
      <c r="D87" s="18"/>
      <c r="E87" s="71"/>
      <c r="F87" s="71"/>
      <c r="G87" s="18"/>
      <c r="H87" s="17"/>
      <c r="I87" s="18"/>
      <c r="J87" s="18"/>
      <c r="K87" s="18"/>
      <c r="L87" s="18"/>
      <c r="M87" s="18"/>
      <c r="N87" s="16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ht="15.75" customHeight="1">
      <c r="A88" s="18"/>
      <c r="B88" s="18"/>
      <c r="C88" s="71"/>
      <c r="D88" s="18"/>
      <c r="E88" s="71"/>
      <c r="F88" s="71"/>
      <c r="G88" s="18"/>
      <c r="H88" s="17"/>
      <c r="I88" s="18"/>
      <c r="J88" s="18"/>
      <c r="K88" s="18"/>
      <c r="L88" s="18"/>
      <c r="M88" s="18"/>
      <c r="N88" s="16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ht="15.75" customHeight="1">
      <c r="A89" s="18"/>
      <c r="B89" s="18"/>
      <c r="C89" s="71"/>
      <c r="D89" s="18"/>
      <c r="E89" s="71"/>
      <c r="F89" s="71"/>
      <c r="G89" s="18"/>
      <c r="H89" s="17"/>
      <c r="I89" s="18"/>
      <c r="J89" s="18"/>
      <c r="K89" s="18"/>
      <c r="L89" s="18"/>
      <c r="M89" s="18"/>
      <c r="N89" s="16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ht="15.75" customHeight="1">
      <c r="A90" s="18"/>
      <c r="B90" s="18"/>
      <c r="C90" s="71"/>
      <c r="D90" s="18"/>
      <c r="E90" s="71"/>
      <c r="F90" s="71"/>
      <c r="G90" s="18"/>
      <c r="H90" s="17"/>
      <c r="I90" s="18"/>
      <c r="J90" s="18"/>
      <c r="K90" s="18"/>
      <c r="L90" s="18"/>
      <c r="M90" s="18"/>
      <c r="N90" s="16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ht="15.75" customHeight="1">
      <c r="A91" s="18"/>
      <c r="B91" s="18"/>
      <c r="C91" s="71"/>
      <c r="D91" s="18"/>
      <c r="E91" s="71"/>
      <c r="F91" s="71"/>
      <c r="G91" s="18"/>
      <c r="H91" s="17"/>
      <c r="I91" s="18"/>
      <c r="J91" s="18"/>
      <c r="K91" s="18"/>
      <c r="L91" s="18"/>
      <c r="M91" s="18"/>
      <c r="N91" s="16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ht="15.75" customHeight="1">
      <c r="A92" s="18"/>
      <c r="B92" s="18"/>
      <c r="C92" s="71"/>
      <c r="D92" s="18"/>
      <c r="E92" s="71"/>
      <c r="F92" s="71"/>
      <c r="G92" s="18"/>
      <c r="H92" s="17"/>
      <c r="I92" s="18"/>
      <c r="J92" s="18"/>
      <c r="K92" s="18"/>
      <c r="L92" s="18"/>
      <c r="M92" s="18"/>
      <c r="N92" s="16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ht="15.75" customHeight="1">
      <c r="A93" s="18"/>
      <c r="B93" s="18"/>
      <c r="C93" s="71"/>
      <c r="D93" s="18"/>
      <c r="E93" s="71"/>
      <c r="F93" s="71"/>
      <c r="G93" s="18"/>
      <c r="H93" s="17"/>
      <c r="I93" s="18"/>
      <c r="J93" s="18"/>
      <c r="K93" s="18"/>
      <c r="L93" s="18"/>
      <c r="M93" s="18"/>
      <c r="N93" s="16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ht="15.75" customHeight="1">
      <c r="A94" s="18"/>
      <c r="B94" s="18"/>
      <c r="C94" s="71"/>
      <c r="D94" s="18"/>
      <c r="E94" s="71"/>
      <c r="F94" s="71"/>
      <c r="G94" s="18"/>
      <c r="H94" s="17"/>
      <c r="I94" s="18"/>
      <c r="J94" s="18"/>
      <c r="K94" s="18"/>
      <c r="L94" s="18"/>
      <c r="M94" s="18"/>
      <c r="N94" s="16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ht="15.75" customHeight="1">
      <c r="A95" s="18"/>
      <c r="B95" s="18"/>
      <c r="C95" s="71"/>
      <c r="D95" s="18"/>
      <c r="E95" s="71"/>
      <c r="F95" s="71"/>
      <c r="G95" s="18"/>
      <c r="H95" s="17"/>
      <c r="I95" s="18"/>
      <c r="J95" s="18"/>
      <c r="K95" s="18"/>
      <c r="L95" s="18"/>
      <c r="M95" s="18"/>
      <c r="N95" s="16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ht="15.75" customHeight="1">
      <c r="A96" s="18"/>
      <c r="B96" s="18"/>
      <c r="C96" s="71"/>
      <c r="D96" s="18"/>
      <c r="E96" s="71"/>
      <c r="F96" s="71"/>
      <c r="G96" s="18"/>
      <c r="H96" s="17"/>
      <c r="I96" s="18"/>
      <c r="J96" s="18"/>
      <c r="K96" s="18"/>
      <c r="L96" s="18"/>
      <c r="M96" s="18"/>
      <c r="N96" s="16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ht="15.75" customHeight="1">
      <c r="A97" s="18"/>
      <c r="B97" s="18"/>
      <c r="C97" s="71"/>
      <c r="D97" s="18"/>
      <c r="E97" s="71"/>
      <c r="F97" s="71"/>
      <c r="G97" s="18"/>
      <c r="H97" s="17"/>
      <c r="I97" s="18"/>
      <c r="J97" s="18"/>
      <c r="K97" s="18"/>
      <c r="L97" s="18"/>
      <c r="M97" s="18"/>
      <c r="N97" s="16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ht="15.75" customHeight="1">
      <c r="A98" s="18"/>
      <c r="B98" s="18"/>
      <c r="C98" s="71"/>
      <c r="D98" s="18"/>
      <c r="E98" s="71"/>
      <c r="F98" s="71"/>
      <c r="G98" s="18"/>
      <c r="H98" s="17"/>
      <c r="I98" s="18"/>
      <c r="J98" s="18"/>
      <c r="K98" s="18"/>
      <c r="L98" s="18"/>
      <c r="M98" s="18"/>
      <c r="N98" s="16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ht="15.75" customHeight="1">
      <c r="A99" s="18"/>
      <c r="B99" s="18"/>
      <c r="C99" s="71"/>
      <c r="D99" s="18"/>
      <c r="E99" s="71"/>
      <c r="F99" s="71"/>
      <c r="G99" s="18"/>
      <c r="H99" s="17"/>
      <c r="I99" s="18"/>
      <c r="J99" s="18"/>
      <c r="K99" s="18"/>
      <c r="L99" s="18"/>
      <c r="M99" s="18"/>
      <c r="N99" s="16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ht="15.75" customHeight="1">
      <c r="A100" s="18"/>
      <c r="B100" s="18"/>
      <c r="C100" s="71"/>
      <c r="D100" s="18"/>
      <c r="E100" s="71"/>
      <c r="F100" s="71"/>
      <c r="G100" s="18"/>
      <c r="H100" s="17"/>
      <c r="I100" s="18"/>
      <c r="J100" s="18"/>
      <c r="K100" s="18"/>
      <c r="L100" s="18"/>
      <c r="M100" s="18"/>
      <c r="N100" s="16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ht="15.75" customHeight="1">
      <c r="A101" s="18"/>
      <c r="B101" s="18"/>
      <c r="C101" s="71"/>
      <c r="D101" s="18"/>
      <c r="E101" s="71"/>
      <c r="F101" s="71"/>
      <c r="G101" s="18"/>
      <c r="H101" s="17"/>
      <c r="I101" s="18"/>
      <c r="J101" s="18"/>
      <c r="K101" s="18"/>
      <c r="L101" s="18"/>
      <c r="M101" s="18"/>
      <c r="N101" s="16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ht="15.75" customHeight="1">
      <c r="A102" s="18"/>
      <c r="B102" s="18"/>
      <c r="C102" s="71"/>
      <c r="D102" s="18"/>
      <c r="E102" s="71"/>
      <c r="F102" s="71"/>
      <c r="G102" s="18"/>
      <c r="H102" s="17"/>
      <c r="I102" s="18"/>
      <c r="J102" s="18"/>
      <c r="K102" s="18"/>
      <c r="L102" s="18"/>
      <c r="M102" s="18"/>
      <c r="N102" s="16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ht="15.75" customHeight="1">
      <c r="A103" s="18"/>
      <c r="B103" s="18"/>
      <c r="C103" s="71"/>
      <c r="D103" s="18"/>
      <c r="E103" s="71"/>
      <c r="F103" s="71"/>
      <c r="G103" s="18"/>
      <c r="H103" s="17"/>
      <c r="I103" s="18"/>
      <c r="J103" s="18"/>
      <c r="K103" s="18"/>
      <c r="L103" s="18"/>
      <c r="M103" s="18"/>
      <c r="N103" s="16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ht="15.75" customHeight="1">
      <c r="A104" s="18"/>
      <c r="B104" s="18"/>
      <c r="C104" s="71"/>
      <c r="D104" s="18"/>
      <c r="E104" s="71"/>
      <c r="F104" s="71"/>
      <c r="G104" s="18"/>
      <c r="H104" s="17"/>
      <c r="I104" s="18"/>
      <c r="J104" s="18"/>
      <c r="K104" s="18"/>
      <c r="L104" s="18"/>
      <c r="M104" s="18"/>
      <c r="N104" s="16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ht="15.75" customHeight="1">
      <c r="A105" s="18"/>
      <c r="B105" s="18"/>
      <c r="C105" s="71"/>
      <c r="D105" s="18"/>
      <c r="E105" s="71"/>
      <c r="F105" s="71"/>
      <c r="G105" s="18"/>
      <c r="H105" s="17"/>
      <c r="I105" s="18"/>
      <c r="J105" s="18"/>
      <c r="K105" s="18"/>
      <c r="L105" s="18"/>
      <c r="M105" s="18"/>
      <c r="N105" s="16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ht="15.75" customHeight="1">
      <c r="A106" s="18"/>
      <c r="B106" s="18"/>
      <c r="C106" s="71"/>
      <c r="D106" s="18"/>
      <c r="E106" s="71"/>
      <c r="F106" s="71"/>
      <c r="G106" s="18"/>
      <c r="H106" s="17"/>
      <c r="I106" s="18"/>
      <c r="J106" s="18"/>
      <c r="K106" s="18"/>
      <c r="L106" s="18"/>
      <c r="M106" s="18"/>
      <c r="N106" s="16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ht="15.75" customHeight="1">
      <c r="A107" s="18"/>
      <c r="B107" s="18"/>
      <c r="C107" s="71"/>
      <c r="D107" s="18"/>
      <c r="E107" s="71"/>
      <c r="F107" s="71"/>
      <c r="G107" s="18"/>
      <c r="H107" s="17"/>
      <c r="I107" s="18"/>
      <c r="J107" s="18"/>
      <c r="K107" s="18"/>
      <c r="L107" s="18"/>
      <c r="M107" s="18"/>
      <c r="N107" s="16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ht="15.75" customHeight="1">
      <c r="A108" s="18"/>
      <c r="B108" s="18"/>
      <c r="C108" s="71"/>
      <c r="D108" s="18"/>
      <c r="E108" s="71"/>
      <c r="F108" s="71"/>
      <c r="G108" s="18"/>
      <c r="H108" s="17"/>
      <c r="I108" s="18"/>
      <c r="J108" s="18"/>
      <c r="K108" s="18"/>
      <c r="L108" s="18"/>
      <c r="M108" s="18"/>
      <c r="N108" s="16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ht="15.75" customHeight="1">
      <c r="A109" s="18"/>
      <c r="B109" s="18"/>
      <c r="C109" s="71"/>
      <c r="D109" s="18"/>
      <c r="E109" s="71"/>
      <c r="F109" s="71"/>
      <c r="G109" s="18"/>
      <c r="H109" s="17"/>
      <c r="I109" s="18"/>
      <c r="J109" s="18"/>
      <c r="K109" s="18"/>
      <c r="L109" s="18"/>
      <c r="M109" s="18"/>
      <c r="N109" s="16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ht="15.75" customHeight="1">
      <c r="A110" s="18"/>
      <c r="B110" s="18"/>
      <c r="C110" s="71"/>
      <c r="D110" s="18"/>
      <c r="E110" s="71"/>
      <c r="F110" s="71"/>
      <c r="G110" s="18"/>
      <c r="H110" s="17"/>
      <c r="I110" s="18"/>
      <c r="J110" s="18"/>
      <c r="K110" s="18"/>
      <c r="L110" s="18"/>
      <c r="M110" s="18"/>
      <c r="N110" s="16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ht="15.75" customHeight="1">
      <c r="A111" s="18"/>
      <c r="B111" s="18"/>
      <c r="C111" s="71"/>
      <c r="D111" s="18"/>
      <c r="E111" s="71"/>
      <c r="F111" s="71"/>
      <c r="G111" s="18"/>
      <c r="H111" s="17"/>
      <c r="I111" s="18"/>
      <c r="J111" s="18"/>
      <c r="K111" s="18"/>
      <c r="L111" s="18"/>
      <c r="M111" s="18"/>
      <c r="N111" s="16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ht="15.75" customHeight="1">
      <c r="A112" s="18"/>
      <c r="B112" s="18"/>
      <c r="C112" s="71"/>
      <c r="D112" s="18"/>
      <c r="E112" s="71"/>
      <c r="F112" s="71"/>
      <c r="G112" s="18"/>
      <c r="H112" s="17"/>
      <c r="I112" s="18"/>
      <c r="J112" s="18"/>
      <c r="K112" s="18"/>
      <c r="L112" s="18"/>
      <c r="M112" s="18"/>
      <c r="N112" s="16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ht="15.75" customHeight="1">
      <c r="A113" s="18"/>
      <c r="B113" s="18"/>
      <c r="C113" s="71"/>
      <c r="D113" s="18"/>
      <c r="E113" s="71"/>
      <c r="F113" s="71"/>
      <c r="G113" s="18"/>
      <c r="H113" s="17"/>
      <c r="I113" s="18"/>
      <c r="J113" s="18"/>
      <c r="K113" s="18"/>
      <c r="L113" s="18"/>
      <c r="M113" s="18"/>
      <c r="N113" s="16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ht="15.75" customHeight="1">
      <c r="A114" s="18"/>
      <c r="B114" s="18"/>
      <c r="C114" s="71"/>
      <c r="D114" s="18"/>
      <c r="E114" s="71"/>
      <c r="F114" s="71"/>
      <c r="G114" s="18"/>
      <c r="H114" s="17"/>
      <c r="I114" s="18"/>
      <c r="J114" s="18"/>
      <c r="K114" s="18"/>
      <c r="L114" s="18"/>
      <c r="M114" s="18"/>
      <c r="N114" s="16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ht="15.75" customHeight="1">
      <c r="A115" s="18"/>
      <c r="B115" s="18"/>
      <c r="C115" s="71"/>
      <c r="D115" s="18"/>
      <c r="E115" s="71"/>
      <c r="F115" s="71"/>
      <c r="G115" s="18"/>
      <c r="H115" s="17"/>
      <c r="I115" s="18"/>
      <c r="J115" s="18"/>
      <c r="K115" s="18"/>
      <c r="L115" s="18"/>
      <c r="M115" s="18"/>
      <c r="N115" s="16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ht="15.75" customHeight="1">
      <c r="A116" s="18"/>
      <c r="B116" s="18"/>
      <c r="C116" s="71"/>
      <c r="D116" s="18"/>
      <c r="E116" s="71"/>
      <c r="F116" s="71"/>
      <c r="G116" s="18"/>
      <c r="H116" s="17"/>
      <c r="I116" s="18"/>
      <c r="J116" s="18"/>
      <c r="K116" s="18"/>
      <c r="L116" s="18"/>
      <c r="M116" s="18"/>
      <c r="N116" s="16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ht="15.75" customHeight="1">
      <c r="A117" s="18"/>
      <c r="B117" s="18"/>
      <c r="C117" s="71"/>
      <c r="D117" s="18"/>
      <c r="E117" s="71"/>
      <c r="F117" s="71"/>
      <c r="G117" s="18"/>
      <c r="H117" s="17"/>
      <c r="I117" s="18"/>
      <c r="J117" s="18"/>
      <c r="K117" s="18"/>
      <c r="L117" s="18"/>
      <c r="M117" s="18"/>
      <c r="N117" s="16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ht="15.75" customHeight="1">
      <c r="A118" s="18"/>
      <c r="B118" s="18"/>
      <c r="C118" s="71"/>
      <c r="D118" s="18"/>
      <c r="E118" s="71"/>
      <c r="F118" s="71"/>
      <c r="G118" s="18"/>
      <c r="H118" s="17"/>
      <c r="I118" s="18"/>
      <c r="J118" s="18"/>
      <c r="K118" s="18"/>
      <c r="L118" s="18"/>
      <c r="M118" s="18"/>
      <c r="N118" s="16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ht="15.75" customHeight="1">
      <c r="A119" s="18"/>
      <c r="B119" s="18"/>
      <c r="C119" s="71"/>
      <c r="D119" s="18"/>
      <c r="E119" s="71"/>
      <c r="F119" s="71"/>
      <c r="G119" s="18"/>
      <c r="H119" s="17"/>
      <c r="I119" s="18"/>
      <c r="J119" s="18"/>
      <c r="K119" s="18"/>
      <c r="L119" s="18"/>
      <c r="M119" s="18"/>
      <c r="N119" s="16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ht="15.75" customHeight="1">
      <c r="A120" s="18"/>
      <c r="B120" s="18"/>
      <c r="C120" s="71"/>
      <c r="D120" s="18"/>
      <c r="E120" s="71"/>
      <c r="F120" s="71"/>
      <c r="G120" s="18"/>
      <c r="H120" s="17"/>
      <c r="I120" s="18"/>
      <c r="J120" s="18"/>
      <c r="K120" s="18"/>
      <c r="L120" s="18"/>
      <c r="M120" s="18"/>
      <c r="N120" s="16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ht="15.75" customHeight="1">
      <c r="A121" s="18"/>
      <c r="B121" s="18"/>
      <c r="C121" s="71"/>
      <c r="D121" s="18"/>
      <c r="E121" s="71"/>
      <c r="F121" s="71"/>
      <c r="G121" s="18"/>
      <c r="H121" s="17"/>
      <c r="I121" s="18"/>
      <c r="J121" s="18"/>
      <c r="K121" s="18"/>
      <c r="L121" s="18"/>
      <c r="M121" s="18"/>
      <c r="N121" s="16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ht="15.75" customHeight="1">
      <c r="A122" s="18"/>
      <c r="B122" s="18"/>
      <c r="C122" s="71"/>
      <c r="D122" s="18"/>
      <c r="E122" s="71"/>
      <c r="F122" s="71"/>
      <c r="G122" s="18"/>
      <c r="H122" s="17"/>
      <c r="I122" s="18"/>
      <c r="J122" s="18"/>
      <c r="K122" s="18"/>
      <c r="L122" s="18"/>
      <c r="M122" s="18"/>
      <c r="N122" s="16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ht="15.75" customHeight="1">
      <c r="A123" s="18"/>
      <c r="B123" s="18"/>
      <c r="C123" s="71"/>
      <c r="D123" s="18"/>
      <c r="E123" s="71"/>
      <c r="F123" s="71"/>
      <c r="G123" s="18"/>
      <c r="H123" s="17"/>
      <c r="I123" s="18"/>
      <c r="J123" s="18"/>
      <c r="K123" s="18"/>
      <c r="L123" s="18"/>
      <c r="M123" s="18"/>
      <c r="N123" s="16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ht="15.75" customHeight="1">
      <c r="A124" s="18"/>
      <c r="B124" s="18"/>
      <c r="C124" s="71"/>
      <c r="D124" s="18"/>
      <c r="E124" s="71"/>
      <c r="F124" s="71"/>
      <c r="G124" s="18"/>
      <c r="H124" s="17"/>
      <c r="I124" s="18"/>
      <c r="J124" s="18"/>
      <c r="K124" s="18"/>
      <c r="L124" s="18"/>
      <c r="M124" s="18"/>
      <c r="N124" s="16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ht="15.75" customHeight="1">
      <c r="A125" s="18"/>
      <c r="B125" s="18"/>
      <c r="C125" s="71"/>
      <c r="D125" s="18"/>
      <c r="E125" s="71"/>
      <c r="F125" s="71"/>
      <c r="G125" s="18"/>
      <c r="H125" s="17"/>
      <c r="I125" s="18"/>
      <c r="J125" s="18"/>
      <c r="K125" s="18"/>
      <c r="L125" s="18"/>
      <c r="M125" s="18"/>
      <c r="N125" s="16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ht="15.75" customHeight="1">
      <c r="A126" s="18"/>
      <c r="B126" s="18"/>
      <c r="C126" s="71"/>
      <c r="D126" s="18"/>
      <c r="E126" s="71"/>
      <c r="F126" s="71"/>
      <c r="G126" s="18"/>
      <c r="H126" s="17"/>
      <c r="I126" s="18"/>
      <c r="J126" s="18"/>
      <c r="K126" s="18"/>
      <c r="L126" s="18"/>
      <c r="M126" s="18"/>
      <c r="N126" s="16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ht="15.75" customHeight="1">
      <c r="A127" s="18"/>
      <c r="B127" s="18"/>
      <c r="C127" s="71"/>
      <c r="D127" s="18"/>
      <c r="E127" s="71"/>
      <c r="F127" s="71"/>
      <c r="G127" s="18"/>
      <c r="H127" s="17"/>
      <c r="I127" s="18"/>
      <c r="J127" s="18"/>
      <c r="K127" s="18"/>
      <c r="L127" s="18"/>
      <c r="M127" s="18"/>
      <c r="N127" s="16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ht="15.75" customHeight="1">
      <c r="A128" s="18"/>
      <c r="B128" s="18"/>
      <c r="C128" s="71"/>
      <c r="D128" s="18"/>
      <c r="E128" s="71"/>
      <c r="F128" s="71"/>
      <c r="G128" s="18"/>
      <c r="H128" s="17"/>
      <c r="I128" s="18"/>
      <c r="J128" s="18"/>
      <c r="K128" s="18"/>
      <c r="L128" s="18"/>
      <c r="M128" s="18"/>
      <c r="N128" s="16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ht="15.75" customHeight="1">
      <c r="A129" s="18"/>
      <c r="B129" s="18"/>
      <c r="C129" s="71"/>
      <c r="D129" s="18"/>
      <c r="E129" s="71"/>
      <c r="F129" s="71"/>
      <c r="G129" s="18"/>
      <c r="H129" s="17"/>
      <c r="I129" s="18"/>
      <c r="J129" s="18"/>
      <c r="K129" s="18"/>
      <c r="L129" s="18"/>
      <c r="M129" s="18"/>
      <c r="N129" s="16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ht="15.75" customHeight="1">
      <c r="A130" s="18"/>
      <c r="B130" s="18"/>
      <c r="C130" s="71"/>
      <c r="D130" s="18"/>
      <c r="E130" s="71"/>
      <c r="F130" s="71"/>
      <c r="G130" s="18"/>
      <c r="H130" s="17"/>
      <c r="I130" s="18"/>
      <c r="J130" s="18"/>
      <c r="K130" s="18"/>
      <c r="L130" s="18"/>
      <c r="M130" s="18"/>
      <c r="N130" s="16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ht="15.75" customHeight="1">
      <c r="A131" s="18"/>
      <c r="B131" s="18"/>
      <c r="C131" s="71"/>
      <c r="D131" s="18"/>
      <c r="E131" s="71"/>
      <c r="F131" s="71"/>
      <c r="G131" s="18"/>
      <c r="H131" s="17"/>
      <c r="I131" s="18"/>
      <c r="J131" s="18"/>
      <c r="K131" s="18"/>
      <c r="L131" s="18"/>
      <c r="M131" s="18"/>
      <c r="N131" s="16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ht="15.75" customHeight="1">
      <c r="A132" s="18"/>
      <c r="B132" s="18"/>
      <c r="C132" s="71"/>
      <c r="D132" s="18"/>
      <c r="E132" s="71"/>
      <c r="F132" s="71"/>
      <c r="G132" s="18"/>
      <c r="H132" s="17"/>
      <c r="I132" s="18"/>
      <c r="J132" s="18"/>
      <c r="K132" s="18"/>
      <c r="L132" s="18"/>
      <c r="M132" s="18"/>
      <c r="N132" s="16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ht="15.75" customHeight="1">
      <c r="A133" s="18"/>
      <c r="B133" s="18"/>
      <c r="C133" s="71"/>
      <c r="D133" s="18"/>
      <c r="E133" s="71"/>
      <c r="F133" s="71"/>
      <c r="G133" s="18"/>
      <c r="H133" s="17"/>
      <c r="I133" s="18"/>
      <c r="J133" s="18"/>
      <c r="K133" s="18"/>
      <c r="L133" s="18"/>
      <c r="M133" s="18"/>
      <c r="N133" s="16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ht="15.75" customHeight="1">
      <c r="A134" s="18"/>
      <c r="B134" s="18"/>
      <c r="C134" s="71"/>
      <c r="D134" s="18"/>
      <c r="E134" s="71"/>
      <c r="F134" s="71"/>
      <c r="G134" s="18"/>
      <c r="H134" s="17"/>
      <c r="I134" s="18"/>
      <c r="J134" s="18"/>
      <c r="K134" s="18"/>
      <c r="L134" s="18"/>
      <c r="M134" s="18"/>
      <c r="N134" s="16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ht="15.75" customHeight="1">
      <c r="A135" s="18"/>
      <c r="B135" s="18"/>
      <c r="C135" s="71"/>
      <c r="D135" s="18"/>
      <c r="E135" s="71"/>
      <c r="F135" s="71"/>
      <c r="G135" s="18"/>
      <c r="H135" s="17"/>
      <c r="I135" s="18"/>
      <c r="J135" s="18"/>
      <c r="K135" s="18"/>
      <c r="L135" s="18"/>
      <c r="M135" s="18"/>
      <c r="N135" s="16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ht="15.75" customHeight="1">
      <c r="A136" s="18"/>
      <c r="B136" s="18"/>
      <c r="C136" s="71"/>
      <c r="D136" s="18"/>
      <c r="E136" s="71"/>
      <c r="F136" s="71"/>
      <c r="G136" s="18"/>
      <c r="H136" s="17"/>
      <c r="I136" s="18"/>
      <c r="J136" s="18"/>
      <c r="K136" s="18"/>
      <c r="L136" s="18"/>
      <c r="M136" s="18"/>
      <c r="N136" s="16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ht="15.75" customHeight="1">
      <c r="A137" s="18"/>
      <c r="B137" s="18"/>
      <c r="C137" s="71"/>
      <c r="D137" s="18"/>
      <c r="E137" s="71"/>
      <c r="F137" s="71"/>
      <c r="G137" s="18"/>
      <c r="H137" s="17"/>
      <c r="I137" s="18"/>
      <c r="J137" s="18"/>
      <c r="K137" s="18"/>
      <c r="L137" s="18"/>
      <c r="M137" s="18"/>
      <c r="N137" s="16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ht="15.75" customHeight="1">
      <c r="A138" s="18"/>
      <c r="B138" s="18"/>
      <c r="C138" s="71"/>
      <c r="D138" s="18"/>
      <c r="E138" s="71"/>
      <c r="F138" s="71"/>
      <c r="G138" s="18"/>
      <c r="H138" s="17"/>
      <c r="I138" s="18"/>
      <c r="J138" s="18"/>
      <c r="K138" s="18"/>
      <c r="L138" s="18"/>
      <c r="M138" s="18"/>
      <c r="N138" s="16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ht="15.75" customHeight="1">
      <c r="A139" s="18"/>
      <c r="B139" s="18"/>
      <c r="C139" s="71"/>
      <c r="D139" s="18"/>
      <c r="E139" s="71"/>
      <c r="F139" s="71"/>
      <c r="G139" s="18"/>
      <c r="H139" s="17"/>
      <c r="I139" s="18"/>
      <c r="J139" s="18"/>
      <c r="K139" s="18"/>
      <c r="L139" s="18"/>
      <c r="M139" s="18"/>
      <c r="N139" s="16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ht="15.75" customHeight="1">
      <c r="A140" s="18"/>
      <c r="B140" s="18"/>
      <c r="C140" s="71"/>
      <c r="D140" s="18"/>
      <c r="E140" s="71"/>
      <c r="F140" s="71"/>
      <c r="G140" s="18"/>
      <c r="H140" s="17"/>
      <c r="I140" s="18"/>
      <c r="J140" s="18"/>
      <c r="K140" s="18"/>
      <c r="L140" s="18"/>
      <c r="M140" s="18"/>
      <c r="N140" s="16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ht="15.75" customHeight="1">
      <c r="A141" s="18"/>
      <c r="B141" s="18"/>
      <c r="C141" s="71"/>
      <c r="D141" s="18"/>
      <c r="E141" s="71"/>
      <c r="F141" s="71"/>
      <c r="G141" s="18"/>
      <c r="H141" s="17"/>
      <c r="I141" s="18"/>
      <c r="J141" s="18"/>
      <c r="K141" s="18"/>
      <c r="L141" s="18"/>
      <c r="M141" s="18"/>
      <c r="N141" s="16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ht="15.75" customHeight="1">
      <c r="A142" s="18"/>
      <c r="B142" s="18"/>
      <c r="C142" s="71"/>
      <c r="D142" s="18"/>
      <c r="E142" s="71"/>
      <c r="F142" s="71"/>
      <c r="G142" s="18"/>
      <c r="H142" s="17"/>
      <c r="I142" s="18"/>
      <c r="J142" s="18"/>
      <c r="K142" s="18"/>
      <c r="L142" s="18"/>
      <c r="M142" s="18"/>
      <c r="N142" s="16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ht="15.75" customHeight="1">
      <c r="A143" s="18"/>
      <c r="B143" s="18"/>
      <c r="C143" s="71"/>
      <c r="D143" s="18"/>
      <c r="E143" s="71"/>
      <c r="F143" s="71"/>
      <c r="G143" s="18"/>
      <c r="H143" s="17"/>
      <c r="I143" s="18"/>
      <c r="J143" s="18"/>
      <c r="K143" s="18"/>
      <c r="L143" s="18"/>
      <c r="M143" s="18"/>
      <c r="N143" s="16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ht="15.75" customHeight="1">
      <c r="A144" s="18"/>
      <c r="B144" s="18"/>
      <c r="C144" s="71"/>
      <c r="D144" s="18"/>
      <c r="E144" s="71"/>
      <c r="F144" s="71"/>
      <c r="G144" s="18"/>
      <c r="H144" s="17"/>
      <c r="I144" s="18"/>
      <c r="J144" s="18"/>
      <c r="K144" s="18"/>
      <c r="L144" s="18"/>
      <c r="M144" s="18"/>
      <c r="N144" s="16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ht="15.75" customHeight="1">
      <c r="A145" s="18"/>
      <c r="B145" s="18"/>
      <c r="C145" s="71"/>
      <c r="D145" s="18"/>
      <c r="E145" s="71"/>
      <c r="F145" s="71"/>
      <c r="G145" s="18"/>
      <c r="H145" s="17"/>
      <c r="I145" s="18"/>
      <c r="J145" s="18"/>
      <c r="K145" s="18"/>
      <c r="L145" s="18"/>
      <c r="M145" s="18"/>
      <c r="N145" s="16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ht="15.75" customHeight="1">
      <c r="A146" s="18"/>
      <c r="B146" s="18"/>
      <c r="C146" s="71"/>
      <c r="D146" s="18"/>
      <c r="E146" s="71"/>
      <c r="F146" s="71"/>
      <c r="G146" s="18"/>
      <c r="H146" s="17"/>
      <c r="I146" s="18"/>
      <c r="J146" s="18"/>
      <c r="K146" s="18"/>
      <c r="L146" s="18"/>
      <c r="M146" s="18"/>
      <c r="N146" s="16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ht="15.75" customHeight="1">
      <c r="A147" s="18"/>
      <c r="B147" s="18"/>
      <c r="C147" s="71"/>
      <c r="D147" s="18"/>
      <c r="E147" s="71"/>
      <c r="F147" s="71"/>
      <c r="G147" s="18"/>
      <c r="H147" s="17"/>
      <c r="I147" s="18"/>
      <c r="J147" s="18"/>
      <c r="K147" s="18"/>
      <c r="L147" s="18"/>
      <c r="M147" s="18"/>
      <c r="N147" s="16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ht="15.75" customHeight="1">
      <c r="A148" s="18"/>
      <c r="B148" s="18"/>
      <c r="C148" s="71"/>
      <c r="D148" s="18"/>
      <c r="E148" s="71"/>
      <c r="F148" s="71"/>
      <c r="G148" s="18"/>
      <c r="H148" s="17"/>
      <c r="I148" s="18"/>
      <c r="J148" s="18"/>
      <c r="K148" s="18"/>
      <c r="L148" s="18"/>
      <c r="M148" s="18"/>
      <c r="N148" s="16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ht="15.75" customHeight="1">
      <c r="A149" s="18"/>
      <c r="B149" s="18"/>
      <c r="C149" s="71"/>
      <c r="D149" s="18"/>
      <c r="E149" s="71"/>
      <c r="F149" s="71"/>
      <c r="G149" s="18"/>
      <c r="H149" s="17"/>
      <c r="I149" s="18"/>
      <c r="J149" s="18"/>
      <c r="K149" s="18"/>
      <c r="L149" s="18"/>
      <c r="M149" s="18"/>
      <c r="N149" s="16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ht="15.75" customHeight="1">
      <c r="A150" s="18"/>
      <c r="B150" s="18"/>
      <c r="C150" s="71"/>
      <c r="D150" s="18"/>
      <c r="E150" s="71"/>
      <c r="F150" s="71"/>
      <c r="G150" s="18"/>
      <c r="H150" s="17"/>
      <c r="I150" s="18"/>
      <c r="J150" s="18"/>
      <c r="K150" s="18"/>
      <c r="L150" s="18"/>
      <c r="M150" s="18"/>
      <c r="N150" s="16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ht="15.75" customHeight="1">
      <c r="A151" s="18"/>
      <c r="B151" s="18"/>
      <c r="C151" s="71"/>
      <c r="D151" s="18"/>
      <c r="E151" s="71"/>
      <c r="F151" s="71"/>
      <c r="G151" s="18"/>
      <c r="H151" s="17"/>
      <c r="I151" s="18"/>
      <c r="J151" s="18"/>
      <c r="K151" s="18"/>
      <c r="L151" s="18"/>
      <c r="M151" s="18"/>
      <c r="N151" s="16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ht="15.75" customHeight="1">
      <c r="A152" s="18"/>
      <c r="B152" s="18"/>
      <c r="C152" s="71"/>
      <c r="D152" s="18"/>
      <c r="E152" s="71"/>
      <c r="F152" s="71"/>
      <c r="G152" s="18"/>
      <c r="H152" s="17"/>
      <c r="I152" s="18"/>
      <c r="J152" s="18"/>
      <c r="K152" s="18"/>
      <c r="L152" s="18"/>
      <c r="M152" s="18"/>
      <c r="N152" s="16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ht="15.75" customHeight="1">
      <c r="A153" s="18"/>
      <c r="B153" s="18"/>
      <c r="C153" s="71"/>
      <c r="D153" s="18"/>
      <c r="E153" s="71"/>
      <c r="F153" s="71"/>
      <c r="G153" s="18"/>
      <c r="H153" s="17"/>
      <c r="I153" s="18"/>
      <c r="J153" s="18"/>
      <c r="K153" s="18"/>
      <c r="L153" s="18"/>
      <c r="M153" s="18"/>
      <c r="N153" s="16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ht="15.75" customHeight="1">
      <c r="A154" s="18"/>
      <c r="B154" s="18"/>
      <c r="C154" s="71"/>
      <c r="D154" s="18"/>
      <c r="E154" s="71"/>
      <c r="F154" s="71"/>
      <c r="G154" s="18"/>
      <c r="H154" s="17"/>
      <c r="I154" s="18"/>
      <c r="J154" s="18"/>
      <c r="K154" s="18"/>
      <c r="L154" s="18"/>
      <c r="M154" s="18"/>
      <c r="N154" s="16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ht="15.75" customHeight="1">
      <c r="A155" s="18"/>
      <c r="B155" s="18"/>
      <c r="C155" s="71"/>
      <c r="D155" s="18"/>
      <c r="E155" s="71"/>
      <c r="F155" s="71"/>
      <c r="G155" s="18"/>
      <c r="H155" s="17"/>
      <c r="I155" s="18"/>
      <c r="J155" s="18"/>
      <c r="K155" s="18"/>
      <c r="L155" s="18"/>
      <c r="M155" s="18"/>
      <c r="N155" s="16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ht="15.75" customHeight="1">
      <c r="A156" s="18"/>
      <c r="B156" s="18"/>
      <c r="C156" s="71"/>
      <c r="D156" s="18"/>
      <c r="E156" s="71"/>
      <c r="F156" s="71"/>
      <c r="G156" s="18"/>
      <c r="H156" s="17"/>
      <c r="I156" s="18"/>
      <c r="J156" s="18"/>
      <c r="K156" s="18"/>
      <c r="L156" s="18"/>
      <c r="M156" s="18"/>
      <c r="N156" s="16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ht="15.75" customHeight="1">
      <c r="A157" s="18"/>
      <c r="B157" s="18"/>
      <c r="C157" s="71"/>
      <c r="D157" s="18"/>
      <c r="E157" s="71"/>
      <c r="F157" s="71"/>
      <c r="G157" s="18"/>
      <c r="H157" s="17"/>
      <c r="I157" s="18"/>
      <c r="J157" s="18"/>
      <c r="K157" s="18"/>
      <c r="L157" s="18"/>
      <c r="M157" s="18"/>
      <c r="N157" s="16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ht="15.75" customHeight="1">
      <c r="A158" s="18"/>
      <c r="B158" s="18"/>
      <c r="C158" s="71"/>
      <c r="D158" s="18"/>
      <c r="E158" s="71"/>
      <c r="F158" s="71"/>
      <c r="G158" s="18"/>
      <c r="H158" s="17"/>
      <c r="I158" s="18"/>
      <c r="J158" s="18"/>
      <c r="K158" s="18"/>
      <c r="L158" s="18"/>
      <c r="M158" s="18"/>
      <c r="N158" s="16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ht="15.75" customHeight="1">
      <c r="A159" s="18"/>
      <c r="B159" s="18"/>
      <c r="C159" s="71"/>
      <c r="D159" s="18"/>
      <c r="E159" s="71"/>
      <c r="F159" s="71"/>
      <c r="G159" s="18"/>
      <c r="H159" s="17"/>
      <c r="I159" s="18"/>
      <c r="J159" s="18"/>
      <c r="K159" s="18"/>
      <c r="L159" s="18"/>
      <c r="M159" s="18"/>
      <c r="N159" s="16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ht="15.75" customHeight="1">
      <c r="A160" s="18"/>
      <c r="B160" s="18"/>
      <c r="C160" s="71"/>
      <c r="D160" s="18"/>
      <c r="E160" s="71"/>
      <c r="F160" s="71"/>
      <c r="G160" s="18"/>
      <c r="H160" s="17"/>
      <c r="I160" s="18"/>
      <c r="J160" s="18"/>
      <c r="K160" s="18"/>
      <c r="L160" s="18"/>
      <c r="M160" s="18"/>
      <c r="N160" s="16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ht="15.75" customHeight="1">
      <c r="A161" s="18"/>
      <c r="B161" s="18"/>
      <c r="C161" s="71"/>
      <c r="D161" s="18"/>
      <c r="E161" s="71"/>
      <c r="F161" s="71"/>
      <c r="G161" s="18"/>
      <c r="H161" s="17"/>
      <c r="I161" s="18"/>
      <c r="J161" s="18"/>
      <c r="K161" s="18"/>
      <c r="L161" s="18"/>
      <c r="M161" s="18"/>
      <c r="N161" s="16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ht="15.75" customHeight="1">
      <c r="A162" s="18"/>
      <c r="B162" s="18"/>
      <c r="C162" s="71"/>
      <c r="D162" s="18"/>
      <c r="E162" s="71"/>
      <c r="F162" s="71"/>
      <c r="G162" s="18"/>
      <c r="H162" s="17"/>
      <c r="I162" s="18"/>
      <c r="J162" s="18"/>
      <c r="K162" s="18"/>
      <c r="L162" s="18"/>
      <c r="M162" s="18"/>
      <c r="N162" s="16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ht="15.75" customHeight="1">
      <c r="A163" s="18"/>
      <c r="B163" s="18"/>
      <c r="C163" s="71"/>
      <c r="D163" s="18"/>
      <c r="E163" s="71"/>
      <c r="F163" s="71"/>
      <c r="G163" s="18"/>
      <c r="H163" s="17"/>
      <c r="I163" s="18"/>
      <c r="J163" s="18"/>
      <c r="K163" s="18"/>
      <c r="L163" s="18"/>
      <c r="M163" s="18"/>
      <c r="N163" s="16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ht="15.75" customHeight="1">
      <c r="A164" s="18"/>
      <c r="B164" s="18"/>
      <c r="C164" s="71"/>
      <c r="D164" s="18"/>
      <c r="E164" s="71"/>
      <c r="F164" s="71"/>
      <c r="G164" s="18"/>
      <c r="H164" s="17"/>
      <c r="I164" s="18"/>
      <c r="J164" s="18"/>
      <c r="K164" s="18"/>
      <c r="L164" s="18"/>
      <c r="M164" s="18"/>
      <c r="N164" s="16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ht="15.75" customHeight="1">
      <c r="A165" s="18"/>
      <c r="B165" s="18"/>
      <c r="C165" s="71"/>
      <c r="D165" s="18"/>
      <c r="E165" s="71"/>
      <c r="F165" s="71"/>
      <c r="G165" s="18"/>
      <c r="H165" s="17"/>
      <c r="I165" s="18"/>
      <c r="J165" s="18"/>
      <c r="K165" s="18"/>
      <c r="L165" s="18"/>
      <c r="M165" s="18"/>
      <c r="N165" s="16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ht="15.75" customHeight="1">
      <c r="A166" s="18"/>
      <c r="B166" s="18"/>
      <c r="C166" s="71"/>
      <c r="D166" s="18"/>
      <c r="E166" s="71"/>
      <c r="F166" s="71"/>
      <c r="G166" s="18"/>
      <c r="H166" s="17"/>
      <c r="I166" s="18"/>
      <c r="J166" s="18"/>
      <c r="K166" s="18"/>
      <c r="L166" s="18"/>
      <c r="M166" s="18"/>
      <c r="N166" s="16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ht="15.75" customHeight="1">
      <c r="A167" s="18"/>
      <c r="B167" s="18"/>
      <c r="C167" s="71"/>
      <c r="D167" s="18"/>
      <c r="E167" s="71"/>
      <c r="F167" s="71"/>
      <c r="G167" s="18"/>
      <c r="H167" s="17"/>
      <c r="I167" s="18"/>
      <c r="J167" s="18"/>
      <c r="K167" s="18"/>
      <c r="L167" s="18"/>
      <c r="M167" s="18"/>
      <c r="N167" s="16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ht="15.75" customHeight="1">
      <c r="A168" s="18"/>
      <c r="B168" s="18"/>
      <c r="C168" s="71"/>
      <c r="D168" s="18"/>
      <c r="E168" s="71"/>
      <c r="F168" s="71"/>
      <c r="G168" s="18"/>
      <c r="H168" s="17"/>
      <c r="I168" s="18"/>
      <c r="J168" s="18"/>
      <c r="K168" s="18"/>
      <c r="L168" s="18"/>
      <c r="M168" s="18"/>
      <c r="N168" s="16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ht="15.75" customHeight="1">
      <c r="A169" s="18"/>
      <c r="B169" s="18"/>
      <c r="C169" s="71"/>
      <c r="D169" s="18"/>
      <c r="E169" s="71"/>
      <c r="F169" s="71"/>
      <c r="G169" s="18"/>
      <c r="H169" s="17"/>
      <c r="I169" s="18"/>
      <c r="J169" s="18"/>
      <c r="K169" s="18"/>
      <c r="L169" s="18"/>
      <c r="M169" s="18"/>
      <c r="N169" s="16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ht="15.75" customHeight="1">
      <c r="A170" s="18"/>
      <c r="B170" s="18"/>
      <c r="C170" s="71"/>
      <c r="D170" s="18"/>
      <c r="E170" s="71"/>
      <c r="F170" s="71"/>
      <c r="G170" s="18"/>
      <c r="H170" s="17"/>
      <c r="I170" s="18"/>
      <c r="J170" s="18"/>
      <c r="K170" s="18"/>
      <c r="L170" s="18"/>
      <c r="M170" s="18"/>
      <c r="N170" s="16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ht="15.75" customHeight="1">
      <c r="A171" s="18"/>
      <c r="B171" s="18"/>
      <c r="C171" s="71"/>
      <c r="D171" s="18"/>
      <c r="E171" s="71"/>
      <c r="F171" s="71"/>
      <c r="G171" s="18"/>
      <c r="H171" s="17"/>
      <c r="I171" s="18"/>
      <c r="J171" s="18"/>
      <c r="K171" s="18"/>
      <c r="L171" s="18"/>
      <c r="M171" s="18"/>
      <c r="N171" s="16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ht="15.75" customHeight="1">
      <c r="A172" s="18"/>
      <c r="B172" s="18"/>
      <c r="C172" s="71"/>
      <c r="D172" s="18"/>
      <c r="E172" s="71"/>
      <c r="F172" s="71"/>
      <c r="G172" s="18"/>
      <c r="H172" s="17"/>
      <c r="I172" s="18"/>
      <c r="J172" s="18"/>
      <c r="K172" s="18"/>
      <c r="L172" s="18"/>
      <c r="M172" s="18"/>
      <c r="N172" s="16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ht="15.75" customHeight="1">
      <c r="A173" s="18"/>
      <c r="B173" s="18"/>
      <c r="C173" s="71"/>
      <c r="D173" s="18"/>
      <c r="E173" s="71"/>
      <c r="F173" s="71"/>
      <c r="G173" s="18"/>
      <c r="H173" s="17"/>
      <c r="I173" s="18"/>
      <c r="J173" s="18"/>
      <c r="K173" s="18"/>
      <c r="L173" s="18"/>
      <c r="M173" s="18"/>
      <c r="N173" s="16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ht="15.75" customHeight="1">
      <c r="A174" s="18"/>
      <c r="B174" s="18"/>
      <c r="C174" s="71"/>
      <c r="D174" s="18"/>
      <c r="E174" s="71"/>
      <c r="F174" s="71"/>
      <c r="G174" s="18"/>
      <c r="H174" s="17"/>
      <c r="I174" s="18"/>
      <c r="J174" s="18"/>
      <c r="K174" s="18"/>
      <c r="L174" s="18"/>
      <c r="M174" s="18"/>
      <c r="N174" s="16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ht="15.75" customHeight="1">
      <c r="A175" s="18"/>
      <c r="B175" s="18"/>
      <c r="C175" s="71"/>
      <c r="D175" s="18"/>
      <c r="E175" s="71"/>
      <c r="F175" s="71"/>
      <c r="G175" s="18"/>
      <c r="H175" s="17"/>
      <c r="I175" s="18"/>
      <c r="J175" s="18"/>
      <c r="K175" s="18"/>
      <c r="L175" s="18"/>
      <c r="M175" s="18"/>
      <c r="N175" s="16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ht="15.75" customHeight="1">
      <c r="A176" s="18"/>
      <c r="B176" s="18"/>
      <c r="C176" s="71"/>
      <c r="D176" s="18"/>
      <c r="E176" s="71"/>
      <c r="F176" s="71"/>
      <c r="G176" s="18"/>
      <c r="H176" s="17"/>
      <c r="I176" s="18"/>
      <c r="J176" s="18"/>
      <c r="K176" s="18"/>
      <c r="L176" s="18"/>
      <c r="M176" s="18"/>
      <c r="N176" s="16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ht="15.75" customHeight="1">
      <c r="A177" s="18"/>
      <c r="B177" s="18"/>
      <c r="C177" s="71"/>
      <c r="D177" s="18"/>
      <c r="E177" s="71"/>
      <c r="F177" s="71"/>
      <c r="G177" s="18"/>
      <c r="H177" s="17"/>
      <c r="I177" s="18"/>
      <c r="J177" s="18"/>
      <c r="K177" s="18"/>
      <c r="L177" s="18"/>
      <c r="M177" s="18"/>
      <c r="N177" s="16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ht="15.75" customHeight="1">
      <c r="A178" s="18"/>
      <c r="B178" s="18"/>
      <c r="C178" s="71"/>
      <c r="D178" s="18"/>
      <c r="E178" s="71"/>
      <c r="F178" s="71"/>
      <c r="G178" s="18"/>
      <c r="H178" s="17"/>
      <c r="I178" s="18"/>
      <c r="J178" s="18"/>
      <c r="K178" s="18"/>
      <c r="L178" s="18"/>
      <c r="M178" s="18"/>
      <c r="N178" s="16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ht="15.75" customHeight="1">
      <c r="A179" s="18"/>
      <c r="B179" s="18"/>
      <c r="C179" s="71"/>
      <c r="D179" s="18"/>
      <c r="E179" s="71"/>
      <c r="F179" s="71"/>
      <c r="G179" s="18"/>
      <c r="H179" s="17"/>
      <c r="I179" s="18"/>
      <c r="J179" s="18"/>
      <c r="K179" s="18"/>
      <c r="L179" s="18"/>
      <c r="M179" s="18"/>
      <c r="N179" s="16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ht="15.75" customHeight="1">
      <c r="A180" s="18"/>
      <c r="B180" s="18"/>
      <c r="C180" s="71"/>
      <c r="D180" s="18"/>
      <c r="E180" s="71"/>
      <c r="F180" s="71"/>
      <c r="G180" s="18"/>
      <c r="H180" s="17"/>
      <c r="I180" s="18"/>
      <c r="J180" s="18"/>
      <c r="K180" s="18"/>
      <c r="L180" s="18"/>
      <c r="M180" s="18"/>
      <c r="N180" s="16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ht="15.75" customHeight="1">
      <c r="A181" s="18"/>
      <c r="B181" s="18"/>
      <c r="C181" s="71"/>
      <c r="D181" s="18"/>
      <c r="E181" s="71"/>
      <c r="F181" s="71"/>
      <c r="G181" s="18"/>
      <c r="H181" s="17"/>
      <c r="I181" s="18"/>
      <c r="J181" s="18"/>
      <c r="K181" s="18"/>
      <c r="L181" s="18"/>
      <c r="M181" s="18"/>
      <c r="N181" s="16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ht="15.75" customHeight="1">
      <c r="A182" s="18"/>
      <c r="B182" s="18"/>
      <c r="C182" s="71"/>
      <c r="D182" s="18"/>
      <c r="E182" s="71"/>
      <c r="F182" s="71"/>
      <c r="G182" s="18"/>
      <c r="H182" s="17"/>
      <c r="I182" s="18"/>
      <c r="J182" s="18"/>
      <c r="K182" s="18"/>
      <c r="L182" s="18"/>
      <c r="M182" s="18"/>
      <c r="N182" s="16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ht="15.75" customHeight="1">
      <c r="A183" s="18"/>
      <c r="B183" s="18"/>
      <c r="C183" s="71"/>
      <c r="D183" s="18"/>
      <c r="E183" s="71"/>
      <c r="F183" s="71"/>
      <c r="G183" s="18"/>
      <c r="H183" s="17"/>
      <c r="I183" s="18"/>
      <c r="J183" s="18"/>
      <c r="K183" s="18"/>
      <c r="L183" s="18"/>
      <c r="M183" s="18"/>
      <c r="N183" s="16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ht="15.75" customHeight="1">
      <c r="A184" s="18"/>
      <c r="B184" s="18"/>
      <c r="C184" s="71"/>
      <c r="D184" s="18"/>
      <c r="E184" s="71"/>
      <c r="F184" s="71"/>
      <c r="G184" s="18"/>
      <c r="H184" s="17"/>
      <c r="I184" s="18"/>
      <c r="J184" s="18"/>
      <c r="K184" s="18"/>
      <c r="L184" s="18"/>
      <c r="M184" s="18"/>
      <c r="N184" s="16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ht="15.75" customHeight="1">
      <c r="A185" s="18"/>
      <c r="B185" s="18"/>
      <c r="C185" s="71"/>
      <c r="D185" s="18"/>
      <c r="E185" s="71"/>
      <c r="F185" s="71"/>
      <c r="G185" s="18"/>
      <c r="H185" s="17"/>
      <c r="I185" s="18"/>
      <c r="J185" s="18"/>
      <c r="K185" s="18"/>
      <c r="L185" s="18"/>
      <c r="M185" s="18"/>
      <c r="N185" s="16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ht="15.75" customHeight="1">
      <c r="A186" s="18"/>
      <c r="B186" s="18"/>
      <c r="C186" s="71"/>
      <c r="D186" s="18"/>
      <c r="E186" s="71"/>
      <c r="F186" s="71"/>
      <c r="G186" s="18"/>
      <c r="H186" s="17"/>
      <c r="I186" s="18"/>
      <c r="J186" s="18"/>
      <c r="K186" s="18"/>
      <c r="L186" s="18"/>
      <c r="M186" s="18"/>
      <c r="N186" s="16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ht="15.75" customHeight="1">
      <c r="A187" s="18"/>
      <c r="B187" s="18"/>
      <c r="C187" s="71"/>
      <c r="D187" s="18"/>
      <c r="E187" s="71"/>
      <c r="F187" s="71"/>
      <c r="G187" s="18"/>
      <c r="H187" s="17"/>
      <c r="I187" s="18"/>
      <c r="J187" s="18"/>
      <c r="K187" s="18"/>
      <c r="L187" s="18"/>
      <c r="M187" s="18"/>
      <c r="N187" s="16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ht="15.75" customHeight="1">
      <c r="A188" s="18"/>
      <c r="B188" s="18"/>
      <c r="C188" s="71"/>
      <c r="D188" s="18"/>
      <c r="E188" s="71"/>
      <c r="F188" s="71"/>
      <c r="G188" s="18"/>
      <c r="H188" s="17"/>
      <c r="I188" s="18"/>
      <c r="J188" s="18"/>
      <c r="K188" s="18"/>
      <c r="L188" s="18"/>
      <c r="M188" s="18"/>
      <c r="N188" s="16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ht="15.75" customHeight="1">
      <c r="A189" s="18"/>
      <c r="B189" s="18"/>
      <c r="C189" s="71"/>
      <c r="D189" s="18"/>
      <c r="E189" s="71"/>
      <c r="F189" s="71"/>
      <c r="G189" s="18"/>
      <c r="H189" s="17"/>
      <c r="I189" s="18"/>
      <c r="J189" s="18"/>
      <c r="K189" s="18"/>
      <c r="L189" s="18"/>
      <c r="M189" s="18"/>
      <c r="N189" s="16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ht="15.75" customHeight="1">
      <c r="A190" s="18"/>
      <c r="B190" s="18"/>
      <c r="C190" s="71"/>
      <c r="D190" s="18"/>
      <c r="E190" s="71"/>
      <c r="F190" s="71"/>
      <c r="G190" s="18"/>
      <c r="H190" s="17"/>
      <c r="I190" s="18"/>
      <c r="J190" s="18"/>
      <c r="K190" s="18"/>
      <c r="L190" s="18"/>
      <c r="M190" s="18"/>
      <c r="N190" s="16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ht="15.75" customHeight="1">
      <c r="A191" s="18"/>
      <c r="B191" s="18"/>
      <c r="C191" s="71"/>
      <c r="D191" s="18"/>
      <c r="E191" s="71"/>
      <c r="F191" s="71"/>
      <c r="G191" s="18"/>
      <c r="H191" s="17"/>
      <c r="I191" s="18"/>
      <c r="J191" s="18"/>
      <c r="K191" s="18"/>
      <c r="L191" s="18"/>
      <c r="M191" s="18"/>
      <c r="N191" s="16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ht="15.75" customHeight="1">
      <c r="A192" s="18"/>
      <c r="B192" s="18"/>
      <c r="C192" s="71"/>
      <c r="D192" s="18"/>
      <c r="E192" s="71"/>
      <c r="F192" s="71"/>
      <c r="G192" s="18"/>
      <c r="H192" s="17"/>
      <c r="I192" s="18"/>
      <c r="J192" s="18"/>
      <c r="K192" s="18"/>
      <c r="L192" s="18"/>
      <c r="M192" s="18"/>
      <c r="N192" s="16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ht="15.75" customHeight="1">
      <c r="A193" s="18"/>
      <c r="B193" s="18"/>
      <c r="C193" s="71"/>
      <c r="D193" s="18"/>
      <c r="E193" s="71"/>
      <c r="F193" s="71"/>
      <c r="G193" s="18"/>
      <c r="H193" s="17"/>
      <c r="I193" s="18"/>
      <c r="J193" s="18"/>
      <c r="K193" s="18"/>
      <c r="L193" s="18"/>
      <c r="M193" s="18"/>
      <c r="N193" s="16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ht="15.75" customHeight="1">
      <c r="A194" s="18"/>
      <c r="B194" s="18"/>
      <c r="C194" s="71"/>
      <c r="D194" s="18"/>
      <c r="E194" s="71"/>
      <c r="F194" s="71"/>
      <c r="G194" s="18"/>
      <c r="H194" s="17"/>
      <c r="I194" s="18"/>
      <c r="J194" s="18"/>
      <c r="K194" s="18"/>
      <c r="L194" s="18"/>
      <c r="M194" s="18"/>
      <c r="N194" s="16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ht="15.75" customHeight="1">
      <c r="A195" s="18"/>
      <c r="B195" s="18"/>
      <c r="C195" s="71"/>
      <c r="D195" s="18"/>
      <c r="E195" s="71"/>
      <c r="F195" s="71"/>
      <c r="G195" s="18"/>
      <c r="H195" s="17"/>
      <c r="I195" s="18"/>
      <c r="J195" s="18"/>
      <c r="K195" s="18"/>
      <c r="L195" s="18"/>
      <c r="M195" s="18"/>
      <c r="N195" s="16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ht="15.75" customHeight="1">
      <c r="A196" s="18"/>
      <c r="B196" s="18"/>
      <c r="C196" s="71"/>
      <c r="D196" s="18"/>
      <c r="E196" s="71"/>
      <c r="F196" s="71"/>
      <c r="G196" s="18"/>
      <c r="H196" s="17"/>
      <c r="I196" s="18"/>
      <c r="J196" s="18"/>
      <c r="K196" s="18"/>
      <c r="L196" s="18"/>
      <c r="M196" s="18"/>
      <c r="N196" s="16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ht="15.75" customHeight="1">
      <c r="A197" s="18"/>
      <c r="B197" s="18"/>
      <c r="C197" s="71"/>
      <c r="D197" s="18"/>
      <c r="E197" s="71"/>
      <c r="F197" s="71"/>
      <c r="G197" s="18"/>
      <c r="H197" s="17"/>
      <c r="I197" s="18"/>
      <c r="J197" s="18"/>
      <c r="K197" s="18"/>
      <c r="L197" s="18"/>
      <c r="M197" s="18"/>
      <c r="N197" s="16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ht="15.75" customHeight="1">
      <c r="A198" s="18"/>
      <c r="B198" s="18"/>
      <c r="C198" s="71"/>
      <c r="D198" s="18"/>
      <c r="E198" s="71"/>
      <c r="F198" s="71"/>
      <c r="G198" s="18"/>
      <c r="H198" s="17"/>
      <c r="I198" s="18"/>
      <c r="J198" s="18"/>
      <c r="K198" s="18"/>
      <c r="L198" s="18"/>
      <c r="M198" s="18"/>
      <c r="N198" s="16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ht="15.75" customHeight="1">
      <c r="A199" s="18"/>
      <c r="B199" s="18"/>
      <c r="C199" s="71"/>
      <c r="D199" s="18"/>
      <c r="E199" s="71"/>
      <c r="F199" s="71"/>
      <c r="G199" s="18"/>
      <c r="H199" s="17"/>
      <c r="I199" s="18"/>
      <c r="J199" s="18"/>
      <c r="K199" s="18"/>
      <c r="L199" s="18"/>
      <c r="M199" s="18"/>
      <c r="N199" s="16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ht="15.75" customHeight="1">
      <c r="A200" s="18"/>
      <c r="B200" s="18"/>
      <c r="C200" s="71"/>
      <c r="D200" s="18"/>
      <c r="E200" s="71"/>
      <c r="F200" s="71"/>
      <c r="G200" s="18"/>
      <c r="H200" s="17"/>
      <c r="I200" s="18"/>
      <c r="J200" s="18"/>
      <c r="K200" s="18"/>
      <c r="L200" s="18"/>
      <c r="M200" s="18"/>
      <c r="N200" s="16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ht="15.75" customHeight="1">
      <c r="A201" s="18"/>
      <c r="B201" s="18"/>
      <c r="C201" s="71"/>
      <c r="D201" s="18"/>
      <c r="E201" s="71"/>
      <c r="F201" s="71"/>
      <c r="G201" s="18"/>
      <c r="H201" s="17"/>
      <c r="I201" s="18"/>
      <c r="J201" s="18"/>
      <c r="K201" s="18"/>
      <c r="L201" s="18"/>
      <c r="M201" s="18"/>
      <c r="N201" s="16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ht="15.75" customHeight="1">
      <c r="A202" s="18"/>
      <c r="B202" s="18"/>
      <c r="C202" s="71"/>
      <c r="D202" s="18"/>
      <c r="E202" s="71"/>
      <c r="F202" s="71"/>
      <c r="G202" s="18"/>
      <c r="H202" s="17"/>
      <c r="I202" s="18"/>
      <c r="J202" s="18"/>
      <c r="K202" s="18"/>
      <c r="L202" s="18"/>
      <c r="M202" s="18"/>
      <c r="N202" s="16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ht="15.75" customHeight="1">
      <c r="A203" s="18"/>
      <c r="B203" s="18"/>
      <c r="C203" s="71"/>
      <c r="D203" s="18"/>
      <c r="E203" s="71"/>
      <c r="F203" s="71"/>
      <c r="G203" s="18"/>
      <c r="H203" s="17"/>
      <c r="I203" s="18"/>
      <c r="J203" s="18"/>
      <c r="K203" s="18"/>
      <c r="L203" s="18"/>
      <c r="M203" s="18"/>
      <c r="N203" s="16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ht="15.75" customHeight="1">
      <c r="A204" s="18"/>
      <c r="B204" s="18"/>
      <c r="C204" s="71"/>
      <c r="D204" s="18"/>
      <c r="E204" s="71"/>
      <c r="F204" s="71"/>
      <c r="G204" s="18"/>
      <c r="H204" s="17"/>
      <c r="I204" s="18"/>
      <c r="J204" s="18"/>
      <c r="K204" s="18"/>
      <c r="L204" s="18"/>
      <c r="M204" s="18"/>
      <c r="N204" s="16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ht="15.75" customHeight="1">
      <c r="A205" s="18"/>
      <c r="B205" s="18"/>
      <c r="C205" s="71"/>
      <c r="D205" s="18"/>
      <c r="E205" s="71"/>
      <c r="F205" s="71"/>
      <c r="G205" s="18"/>
      <c r="H205" s="17"/>
      <c r="I205" s="18"/>
      <c r="J205" s="18"/>
      <c r="K205" s="18"/>
      <c r="L205" s="18"/>
      <c r="M205" s="18"/>
      <c r="N205" s="16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ht="15.75" customHeight="1">
      <c r="A206" s="18"/>
      <c r="B206" s="18"/>
      <c r="C206" s="71"/>
      <c r="D206" s="18"/>
      <c r="E206" s="71"/>
      <c r="F206" s="71"/>
      <c r="G206" s="18"/>
      <c r="H206" s="17"/>
      <c r="I206" s="18"/>
      <c r="J206" s="18"/>
      <c r="K206" s="18"/>
      <c r="L206" s="18"/>
      <c r="M206" s="18"/>
      <c r="N206" s="16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ht="15.75" customHeight="1">
      <c r="A207" s="18"/>
      <c r="B207" s="18"/>
      <c r="C207" s="71"/>
      <c r="D207" s="18"/>
      <c r="E207" s="71"/>
      <c r="F207" s="71"/>
      <c r="G207" s="18"/>
      <c r="H207" s="17"/>
      <c r="I207" s="18"/>
      <c r="J207" s="18"/>
      <c r="K207" s="18"/>
      <c r="L207" s="18"/>
      <c r="M207" s="18"/>
      <c r="N207" s="16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ht="15.75" customHeight="1">
      <c r="A208" s="18"/>
      <c r="B208" s="18"/>
      <c r="C208" s="71"/>
      <c r="D208" s="18"/>
      <c r="E208" s="71"/>
      <c r="F208" s="71"/>
      <c r="G208" s="18"/>
      <c r="H208" s="17"/>
      <c r="I208" s="18"/>
      <c r="J208" s="18"/>
      <c r="K208" s="18"/>
      <c r="L208" s="18"/>
      <c r="M208" s="18"/>
      <c r="N208" s="16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ht="15.75" customHeight="1">
      <c r="A209" s="18"/>
      <c r="B209" s="18"/>
      <c r="C209" s="71"/>
      <c r="D209" s="18"/>
      <c r="E209" s="71"/>
      <c r="F209" s="71"/>
      <c r="G209" s="18"/>
      <c r="H209" s="17"/>
      <c r="I209" s="18"/>
      <c r="J209" s="18"/>
      <c r="K209" s="18"/>
      <c r="L209" s="18"/>
      <c r="M209" s="18"/>
      <c r="N209" s="16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ht="15.75" customHeight="1">
      <c r="A210" s="18"/>
      <c r="B210" s="18"/>
      <c r="C210" s="71"/>
      <c r="D210" s="18"/>
      <c r="E210" s="71"/>
      <c r="F210" s="71"/>
      <c r="G210" s="18"/>
      <c r="H210" s="17"/>
      <c r="I210" s="18"/>
      <c r="J210" s="18"/>
      <c r="K210" s="18"/>
      <c r="L210" s="18"/>
      <c r="M210" s="18"/>
      <c r="N210" s="16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ht="15.75" customHeight="1">
      <c r="A211" s="18"/>
      <c r="B211" s="18"/>
      <c r="C211" s="71"/>
      <c r="D211" s="18"/>
      <c r="E211" s="71"/>
      <c r="F211" s="71"/>
      <c r="G211" s="18"/>
      <c r="H211" s="17"/>
      <c r="I211" s="18"/>
      <c r="J211" s="18"/>
      <c r="K211" s="18"/>
      <c r="L211" s="18"/>
      <c r="M211" s="18"/>
      <c r="N211" s="16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ht="15.75" customHeight="1">
      <c r="A212" s="18"/>
      <c r="B212" s="18"/>
      <c r="C212" s="71"/>
      <c r="D212" s="18"/>
      <c r="E212" s="71"/>
      <c r="F212" s="71"/>
      <c r="G212" s="18"/>
      <c r="H212" s="17"/>
      <c r="I212" s="18"/>
      <c r="J212" s="18"/>
      <c r="K212" s="18"/>
      <c r="L212" s="18"/>
      <c r="M212" s="18"/>
      <c r="N212" s="16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ht="15.75" customHeight="1">
      <c r="A213" s="18"/>
      <c r="B213" s="18"/>
      <c r="C213" s="71"/>
      <c r="D213" s="18"/>
      <c r="E213" s="71"/>
      <c r="F213" s="71"/>
      <c r="G213" s="18"/>
      <c r="H213" s="17"/>
      <c r="I213" s="18"/>
      <c r="J213" s="18"/>
      <c r="K213" s="18"/>
      <c r="L213" s="18"/>
      <c r="M213" s="18"/>
      <c r="N213" s="16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ht="15.75" customHeight="1">
      <c r="A214" s="18"/>
      <c r="B214" s="18"/>
      <c r="C214" s="71"/>
      <c r="D214" s="18"/>
      <c r="E214" s="71"/>
      <c r="F214" s="71"/>
      <c r="G214" s="18"/>
      <c r="H214" s="17"/>
      <c r="I214" s="18"/>
      <c r="J214" s="18"/>
      <c r="K214" s="18"/>
      <c r="L214" s="18"/>
      <c r="M214" s="18"/>
      <c r="N214" s="16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ht="15.75" customHeight="1">
      <c r="A215" s="18"/>
      <c r="B215" s="18"/>
      <c r="C215" s="71"/>
      <c r="D215" s="18"/>
      <c r="E215" s="71"/>
      <c r="F215" s="71"/>
      <c r="G215" s="18"/>
      <c r="H215" s="17"/>
      <c r="I215" s="18"/>
      <c r="J215" s="18"/>
      <c r="K215" s="18"/>
      <c r="L215" s="18"/>
      <c r="M215" s="18"/>
      <c r="N215" s="16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ht="15.75" customHeight="1">
      <c r="A216" s="18"/>
      <c r="B216" s="18"/>
      <c r="C216" s="71"/>
      <c r="D216" s="18"/>
      <c r="E216" s="71"/>
      <c r="F216" s="71"/>
      <c r="G216" s="18"/>
      <c r="H216" s="17"/>
      <c r="I216" s="18"/>
      <c r="J216" s="18"/>
      <c r="K216" s="18"/>
      <c r="L216" s="18"/>
      <c r="M216" s="18"/>
      <c r="N216" s="16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ht="15.75" customHeight="1">
      <c r="A217" s="18"/>
      <c r="B217" s="18"/>
      <c r="C217" s="71"/>
      <c r="D217" s="18"/>
      <c r="E217" s="71"/>
      <c r="F217" s="71"/>
      <c r="G217" s="18"/>
      <c r="H217" s="17"/>
      <c r="I217" s="18"/>
      <c r="J217" s="18"/>
      <c r="K217" s="18"/>
      <c r="L217" s="18"/>
      <c r="M217" s="18"/>
      <c r="N217" s="16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ht="15.75" customHeight="1">
      <c r="A218" s="18"/>
      <c r="B218" s="18"/>
      <c r="C218" s="71"/>
      <c r="D218" s="18"/>
      <c r="E218" s="71"/>
      <c r="F218" s="71"/>
      <c r="G218" s="18"/>
      <c r="H218" s="17"/>
      <c r="I218" s="18"/>
      <c r="J218" s="18"/>
      <c r="K218" s="18"/>
      <c r="L218" s="18"/>
      <c r="M218" s="18"/>
      <c r="N218" s="16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ht="15.75" customHeight="1">
      <c r="A219" s="18"/>
      <c r="B219" s="18"/>
      <c r="C219" s="71"/>
      <c r="D219" s="18"/>
      <c r="E219" s="71"/>
      <c r="F219" s="71"/>
      <c r="G219" s="18"/>
      <c r="H219" s="17"/>
      <c r="I219" s="18"/>
      <c r="J219" s="18"/>
      <c r="K219" s="18"/>
      <c r="L219" s="18"/>
      <c r="M219" s="18"/>
      <c r="N219" s="16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ht="15.75" customHeight="1">
      <c r="A220" s="18"/>
      <c r="B220" s="18"/>
      <c r="C220" s="71"/>
      <c r="D220" s="18"/>
      <c r="E220" s="71"/>
      <c r="F220" s="71"/>
      <c r="G220" s="18"/>
      <c r="H220" s="17"/>
      <c r="I220" s="18"/>
      <c r="J220" s="18"/>
      <c r="K220" s="18"/>
      <c r="L220" s="18"/>
      <c r="M220" s="18"/>
      <c r="N220" s="16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ht="15.75" customHeight="1">
      <c r="A221" s="18"/>
      <c r="B221" s="18"/>
      <c r="C221" s="71"/>
      <c r="D221" s="18"/>
      <c r="E221" s="71"/>
      <c r="F221" s="71"/>
      <c r="G221" s="18"/>
      <c r="H221" s="17"/>
      <c r="I221" s="18"/>
      <c r="J221" s="18"/>
      <c r="K221" s="18"/>
      <c r="L221" s="18"/>
      <c r="M221" s="18"/>
      <c r="N221" s="16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ht="15.75" customHeight="1">
      <c r="A222" s="18"/>
      <c r="B222" s="18"/>
      <c r="C222" s="71"/>
      <c r="D222" s="18"/>
      <c r="E222" s="71"/>
      <c r="F222" s="71"/>
      <c r="G222" s="18"/>
      <c r="H222" s="17"/>
      <c r="I222" s="18"/>
      <c r="J222" s="18"/>
      <c r="K222" s="18"/>
      <c r="L222" s="18"/>
      <c r="M222" s="18"/>
      <c r="N222" s="16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ht="15.75" customHeight="1">
      <c r="A223" s="18"/>
      <c r="B223" s="18"/>
      <c r="C223" s="71"/>
      <c r="D223" s="18"/>
      <c r="E223" s="71"/>
      <c r="F223" s="71"/>
      <c r="G223" s="18"/>
      <c r="H223" s="17"/>
      <c r="I223" s="18"/>
      <c r="J223" s="18"/>
      <c r="K223" s="18"/>
      <c r="L223" s="18"/>
      <c r="M223" s="18"/>
      <c r="N223" s="16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ht="15.75" customHeight="1">
      <c r="A224" s="18"/>
      <c r="B224" s="18"/>
      <c r="C224" s="71"/>
      <c r="D224" s="18"/>
      <c r="E224" s="71"/>
      <c r="F224" s="71"/>
      <c r="G224" s="18"/>
      <c r="H224" s="17"/>
      <c r="I224" s="18"/>
      <c r="J224" s="18"/>
      <c r="K224" s="18"/>
      <c r="L224" s="18"/>
      <c r="M224" s="18"/>
      <c r="N224" s="16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ht="15.75" customHeight="1">
      <c r="A225" s="18"/>
      <c r="B225" s="18"/>
      <c r="C225" s="71"/>
      <c r="D225" s="18"/>
      <c r="E225" s="71"/>
      <c r="F225" s="71"/>
      <c r="G225" s="18"/>
      <c r="H225" s="17"/>
      <c r="I225" s="18"/>
      <c r="J225" s="18"/>
      <c r="K225" s="18"/>
      <c r="L225" s="18"/>
      <c r="M225" s="18"/>
      <c r="N225" s="16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ht="15.75" customHeight="1">
      <c r="A226" s="18"/>
      <c r="B226" s="18"/>
      <c r="C226" s="71"/>
      <c r="D226" s="18"/>
      <c r="E226" s="71"/>
      <c r="F226" s="71"/>
      <c r="G226" s="18"/>
      <c r="H226" s="17"/>
      <c r="I226" s="18"/>
      <c r="J226" s="18"/>
      <c r="K226" s="18"/>
      <c r="L226" s="18"/>
      <c r="M226" s="18"/>
      <c r="N226" s="16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ht="15.75" customHeight="1">
      <c r="A227" s="18"/>
      <c r="B227" s="18"/>
      <c r="C227" s="71"/>
      <c r="D227" s="18"/>
      <c r="E227" s="71"/>
      <c r="F227" s="71"/>
      <c r="G227" s="18"/>
      <c r="H227" s="17"/>
      <c r="I227" s="18"/>
      <c r="J227" s="18"/>
      <c r="K227" s="18"/>
      <c r="L227" s="18"/>
      <c r="M227" s="18"/>
      <c r="N227" s="16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ht="15.75" customHeight="1">
      <c r="A228" s="18"/>
      <c r="B228" s="18"/>
      <c r="C228" s="71"/>
      <c r="D228" s="18"/>
      <c r="E228" s="71"/>
      <c r="F228" s="71"/>
      <c r="G228" s="18"/>
      <c r="H228" s="17"/>
      <c r="I228" s="18"/>
      <c r="J228" s="18"/>
      <c r="K228" s="18"/>
      <c r="L228" s="18"/>
      <c r="M228" s="18"/>
      <c r="N228" s="16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ht="15.75" customHeight="1">
      <c r="A229" s="18"/>
      <c r="B229" s="18"/>
      <c r="C229" s="71"/>
      <c r="D229" s="18"/>
      <c r="E229" s="71"/>
      <c r="F229" s="71"/>
      <c r="G229" s="18"/>
      <c r="H229" s="17"/>
      <c r="I229" s="18"/>
      <c r="J229" s="18"/>
      <c r="K229" s="18"/>
      <c r="L229" s="18"/>
      <c r="M229" s="18"/>
      <c r="N229" s="16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ht="15.75" customHeight="1">
      <c r="A230" s="18"/>
      <c r="B230" s="18"/>
      <c r="C230" s="71"/>
      <c r="D230" s="18"/>
      <c r="E230" s="71"/>
      <c r="F230" s="71"/>
      <c r="G230" s="18"/>
      <c r="H230" s="17"/>
      <c r="I230" s="18"/>
      <c r="J230" s="18"/>
      <c r="K230" s="18"/>
      <c r="L230" s="18"/>
      <c r="M230" s="18"/>
      <c r="N230" s="16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ht="15.75" customHeight="1">
      <c r="A231" s="18"/>
      <c r="B231" s="18"/>
      <c r="C231" s="71"/>
      <c r="D231" s="18"/>
      <c r="E231" s="71"/>
      <c r="F231" s="71"/>
      <c r="G231" s="18"/>
      <c r="H231" s="17"/>
      <c r="I231" s="18"/>
      <c r="J231" s="18"/>
      <c r="K231" s="18"/>
      <c r="L231" s="18"/>
      <c r="M231" s="18"/>
      <c r="N231" s="16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ht="15.75" customHeight="1">
      <c r="A232" s="18"/>
      <c r="B232" s="18"/>
      <c r="C232" s="71"/>
      <c r="D232" s="18"/>
      <c r="E232" s="71"/>
      <c r="F232" s="71"/>
      <c r="G232" s="18"/>
      <c r="H232" s="17"/>
      <c r="I232" s="18"/>
      <c r="J232" s="18"/>
      <c r="K232" s="18"/>
      <c r="L232" s="18"/>
      <c r="M232" s="18"/>
      <c r="N232" s="16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ht="15.75" customHeight="1">
      <c r="A233" s="18"/>
      <c r="B233" s="18"/>
      <c r="C233" s="71"/>
      <c r="D233" s="18"/>
      <c r="E233" s="71"/>
      <c r="F233" s="71"/>
      <c r="G233" s="18"/>
      <c r="H233" s="17"/>
      <c r="I233" s="18"/>
      <c r="J233" s="18"/>
      <c r="K233" s="18"/>
      <c r="L233" s="18"/>
      <c r="M233" s="18"/>
      <c r="N233" s="16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ht="15.75" customHeight="1">
      <c r="A234" s="18"/>
      <c r="B234" s="18"/>
      <c r="C234" s="71"/>
      <c r="D234" s="18"/>
      <c r="E234" s="71"/>
      <c r="F234" s="71"/>
      <c r="G234" s="18"/>
      <c r="H234" s="17"/>
      <c r="I234" s="18"/>
      <c r="J234" s="18"/>
      <c r="K234" s="18"/>
      <c r="L234" s="18"/>
      <c r="M234" s="18"/>
      <c r="N234" s="16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ht="15.75" customHeight="1">
      <c r="A235" s="18"/>
      <c r="B235" s="18"/>
      <c r="C235" s="71"/>
      <c r="D235" s="18"/>
      <c r="E235" s="71"/>
      <c r="F235" s="71"/>
      <c r="G235" s="18"/>
      <c r="H235" s="17"/>
      <c r="I235" s="18"/>
      <c r="J235" s="18"/>
      <c r="K235" s="18"/>
      <c r="L235" s="18"/>
      <c r="M235" s="18"/>
      <c r="N235" s="16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ht="15.75" customHeight="1">
      <c r="A236" s="18"/>
      <c r="B236" s="18"/>
      <c r="C236" s="71"/>
      <c r="D236" s="18"/>
      <c r="E236" s="71"/>
      <c r="F236" s="71"/>
      <c r="G236" s="18"/>
      <c r="H236" s="17"/>
      <c r="I236" s="18"/>
      <c r="J236" s="18"/>
      <c r="K236" s="18"/>
      <c r="L236" s="18"/>
      <c r="M236" s="18"/>
      <c r="N236" s="16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ht="15.75" customHeight="1">
      <c r="A237" s="18"/>
      <c r="B237" s="18"/>
      <c r="C237" s="71"/>
      <c r="D237" s="18"/>
      <c r="E237" s="71"/>
      <c r="F237" s="71"/>
      <c r="G237" s="18"/>
      <c r="H237" s="17"/>
      <c r="I237" s="18"/>
      <c r="J237" s="18"/>
      <c r="K237" s="18"/>
      <c r="L237" s="18"/>
      <c r="M237" s="18"/>
      <c r="N237" s="16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ht="15.75" customHeight="1">
      <c r="A238" s="18"/>
      <c r="B238" s="18"/>
      <c r="C238" s="71"/>
      <c r="D238" s="18"/>
      <c r="E238" s="71"/>
      <c r="F238" s="71"/>
      <c r="G238" s="18"/>
      <c r="H238" s="17"/>
      <c r="I238" s="18"/>
      <c r="J238" s="18"/>
      <c r="K238" s="18"/>
      <c r="L238" s="18"/>
      <c r="M238" s="18"/>
      <c r="N238" s="16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ht="15.75" customHeight="1">
      <c r="A239" s="18"/>
      <c r="B239" s="18"/>
      <c r="C239" s="71"/>
      <c r="D239" s="18"/>
      <c r="E239" s="71"/>
      <c r="F239" s="71"/>
      <c r="G239" s="18"/>
      <c r="H239" s="17"/>
      <c r="I239" s="18"/>
      <c r="J239" s="18"/>
      <c r="K239" s="18"/>
      <c r="L239" s="18"/>
      <c r="M239" s="18"/>
      <c r="N239" s="16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ht="15.75" customHeight="1">
      <c r="A240" s="18"/>
      <c r="B240" s="18"/>
      <c r="C240" s="71"/>
      <c r="D240" s="18"/>
      <c r="E240" s="71"/>
      <c r="F240" s="71"/>
      <c r="G240" s="18"/>
      <c r="H240" s="17"/>
      <c r="I240" s="18"/>
      <c r="J240" s="18"/>
      <c r="K240" s="18"/>
      <c r="L240" s="18"/>
      <c r="M240" s="18"/>
      <c r="N240" s="16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ht="15.75" customHeight="1">
      <c r="A241" s="18"/>
      <c r="B241" s="18"/>
      <c r="C241" s="71"/>
      <c r="D241" s="18"/>
      <c r="E241" s="71"/>
      <c r="F241" s="71"/>
      <c r="G241" s="18"/>
      <c r="H241" s="17"/>
      <c r="I241" s="18"/>
      <c r="J241" s="18"/>
      <c r="K241" s="18"/>
      <c r="L241" s="18"/>
      <c r="M241" s="18"/>
      <c r="N241" s="16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ht="15.75" customHeight="1">
      <c r="A242" s="18"/>
      <c r="B242" s="18"/>
      <c r="C242" s="71"/>
      <c r="D242" s="18"/>
      <c r="E242" s="71"/>
      <c r="F242" s="71"/>
      <c r="G242" s="18"/>
      <c r="H242" s="17"/>
      <c r="I242" s="18"/>
      <c r="J242" s="18"/>
      <c r="K242" s="18"/>
      <c r="L242" s="18"/>
      <c r="M242" s="18"/>
      <c r="N242" s="16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ht="15.75" customHeight="1">
      <c r="A243" s="18"/>
      <c r="B243" s="18"/>
      <c r="C243" s="71"/>
      <c r="D243" s="18"/>
      <c r="E243" s="71"/>
      <c r="F243" s="71"/>
      <c r="G243" s="18"/>
      <c r="H243" s="17"/>
      <c r="I243" s="18"/>
      <c r="J243" s="18"/>
      <c r="K243" s="18"/>
      <c r="L243" s="18"/>
      <c r="M243" s="18"/>
      <c r="N243" s="16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ht="15.75" customHeight="1">
      <c r="A244" s="18"/>
      <c r="B244" s="18"/>
      <c r="C244" s="71"/>
      <c r="D244" s="18"/>
      <c r="E244" s="71"/>
      <c r="F244" s="71"/>
      <c r="G244" s="18"/>
      <c r="H244" s="17"/>
      <c r="I244" s="18"/>
      <c r="J244" s="18"/>
      <c r="K244" s="18"/>
      <c r="L244" s="18"/>
      <c r="M244" s="18"/>
      <c r="N244" s="16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ht="15.75" customHeight="1">
      <c r="A245" s="18"/>
      <c r="B245" s="18"/>
      <c r="C245" s="71"/>
      <c r="D245" s="18"/>
      <c r="E245" s="71"/>
      <c r="F245" s="71"/>
      <c r="G245" s="18"/>
      <c r="H245" s="17"/>
      <c r="I245" s="18"/>
      <c r="J245" s="18"/>
      <c r="K245" s="18"/>
      <c r="L245" s="18"/>
      <c r="M245" s="18"/>
      <c r="N245" s="16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ht="15.75" customHeight="1">
      <c r="A246" s="18"/>
      <c r="B246" s="18"/>
      <c r="C246" s="71"/>
      <c r="D246" s="18"/>
      <c r="E246" s="71"/>
      <c r="F246" s="71"/>
      <c r="G246" s="18"/>
      <c r="H246" s="17"/>
      <c r="I246" s="18"/>
      <c r="J246" s="18"/>
      <c r="K246" s="18"/>
      <c r="L246" s="18"/>
      <c r="M246" s="18"/>
      <c r="N246" s="16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ht="15.75" customHeight="1">
      <c r="A247" s="18"/>
      <c r="B247" s="18"/>
      <c r="C247" s="71"/>
      <c r="D247" s="18"/>
      <c r="E247" s="71"/>
      <c r="F247" s="71"/>
      <c r="G247" s="18"/>
      <c r="H247" s="17"/>
      <c r="I247" s="18"/>
      <c r="J247" s="18"/>
      <c r="K247" s="18"/>
      <c r="L247" s="18"/>
      <c r="M247" s="18"/>
      <c r="N247" s="1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ht="15.75" customHeight="1">
      <c r="A248" s="18"/>
      <c r="B248" s="18"/>
      <c r="C248" s="71"/>
      <c r="D248" s="18"/>
      <c r="E248" s="71"/>
      <c r="F248" s="71"/>
      <c r="G248" s="18"/>
      <c r="H248" s="17"/>
      <c r="I248" s="18"/>
      <c r="J248" s="18"/>
      <c r="K248" s="18"/>
      <c r="L248" s="18"/>
      <c r="M248" s="18"/>
      <c r="N248" s="1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ht="15.75" customHeight="1">
      <c r="A249" s="18"/>
      <c r="B249" s="18"/>
      <c r="C249" s="71"/>
      <c r="D249" s="18"/>
      <c r="E249" s="71"/>
      <c r="F249" s="71"/>
      <c r="G249" s="18"/>
      <c r="H249" s="17"/>
      <c r="I249" s="18"/>
      <c r="J249" s="18"/>
      <c r="K249" s="18"/>
      <c r="L249" s="18"/>
      <c r="M249" s="18"/>
      <c r="N249" s="1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ht="15.75" customHeight="1">
      <c r="A250" s="18"/>
      <c r="B250" s="18"/>
      <c r="C250" s="71"/>
      <c r="D250" s="18"/>
      <c r="E250" s="71"/>
      <c r="F250" s="71"/>
      <c r="G250" s="18"/>
      <c r="H250" s="17"/>
      <c r="I250" s="18"/>
      <c r="J250" s="18"/>
      <c r="K250" s="18"/>
      <c r="L250" s="18"/>
      <c r="M250" s="18"/>
      <c r="N250" s="1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ht="15.75" customHeight="1">
      <c r="A251" s="18"/>
      <c r="B251" s="18"/>
      <c r="C251" s="71"/>
      <c r="D251" s="18"/>
      <c r="E251" s="71"/>
      <c r="F251" s="71"/>
      <c r="G251" s="18"/>
      <c r="H251" s="17"/>
      <c r="I251" s="18"/>
      <c r="J251" s="18"/>
      <c r="K251" s="18"/>
      <c r="L251" s="18"/>
      <c r="M251" s="18"/>
      <c r="N251" s="1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ht="15.75" customHeight="1">
      <c r="A252" s="18"/>
      <c r="B252" s="18"/>
      <c r="C252" s="71"/>
      <c r="D252" s="18"/>
      <c r="E252" s="71"/>
      <c r="F252" s="71"/>
      <c r="G252" s="18"/>
      <c r="H252" s="17"/>
      <c r="I252" s="18"/>
      <c r="J252" s="18"/>
      <c r="K252" s="18"/>
      <c r="L252" s="18"/>
      <c r="M252" s="18"/>
      <c r="N252" s="1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ht="15.75" customHeight="1">
      <c r="A253" s="18"/>
      <c r="B253" s="18"/>
      <c r="C253" s="71"/>
      <c r="D253" s="18"/>
      <c r="E253" s="71"/>
      <c r="F253" s="71"/>
      <c r="G253" s="18"/>
      <c r="H253" s="17"/>
      <c r="I253" s="18"/>
      <c r="J253" s="18"/>
      <c r="K253" s="18"/>
      <c r="L253" s="18"/>
      <c r="M253" s="18"/>
      <c r="N253" s="1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ht="15.75" customHeight="1">
      <c r="A254" s="18"/>
      <c r="B254" s="18"/>
      <c r="C254" s="71"/>
      <c r="D254" s="18"/>
      <c r="E254" s="71"/>
      <c r="F254" s="71"/>
      <c r="G254" s="18"/>
      <c r="H254" s="17"/>
      <c r="I254" s="18"/>
      <c r="J254" s="18"/>
      <c r="K254" s="18"/>
      <c r="L254" s="18"/>
      <c r="M254" s="18"/>
      <c r="N254" s="1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ht="15.75" customHeight="1">
      <c r="A255" s="18"/>
      <c r="B255" s="18"/>
      <c r="C255" s="71"/>
      <c r="D255" s="18"/>
      <c r="E255" s="71"/>
      <c r="F255" s="71"/>
      <c r="G255" s="18"/>
      <c r="H255" s="17"/>
      <c r="I255" s="18"/>
      <c r="J255" s="18"/>
      <c r="K255" s="18"/>
      <c r="L255" s="18"/>
      <c r="M255" s="18"/>
      <c r="N255" s="1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ht="15.75" customHeight="1">
      <c r="A256" s="18"/>
      <c r="B256" s="18"/>
      <c r="C256" s="71"/>
      <c r="D256" s="18"/>
      <c r="E256" s="71"/>
      <c r="F256" s="71"/>
      <c r="G256" s="18"/>
      <c r="H256" s="17"/>
      <c r="I256" s="18"/>
      <c r="J256" s="18"/>
      <c r="K256" s="18"/>
      <c r="L256" s="18"/>
      <c r="M256" s="18"/>
      <c r="N256" s="1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ht="15.75" customHeight="1">
      <c r="A257" s="18"/>
      <c r="B257" s="18"/>
      <c r="C257" s="71"/>
      <c r="D257" s="18"/>
      <c r="E257" s="71"/>
      <c r="F257" s="71"/>
      <c r="G257" s="18"/>
      <c r="H257" s="17"/>
      <c r="I257" s="18"/>
      <c r="J257" s="18"/>
      <c r="K257" s="18"/>
      <c r="L257" s="18"/>
      <c r="M257" s="18"/>
      <c r="N257" s="1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ht="15.75" customHeight="1">
      <c r="A258" s="18"/>
      <c r="B258" s="18"/>
      <c r="C258" s="71"/>
      <c r="D258" s="18"/>
      <c r="E258" s="71"/>
      <c r="F258" s="71"/>
      <c r="G258" s="18"/>
      <c r="H258" s="17"/>
      <c r="I258" s="18"/>
      <c r="J258" s="18"/>
      <c r="K258" s="18"/>
      <c r="L258" s="18"/>
      <c r="M258" s="18"/>
      <c r="N258" s="1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ht="15.75" customHeight="1">
      <c r="A259" s="18"/>
      <c r="B259" s="18"/>
      <c r="C259" s="71"/>
      <c r="D259" s="18"/>
      <c r="E259" s="71"/>
      <c r="F259" s="71"/>
      <c r="G259" s="18"/>
      <c r="H259" s="17"/>
      <c r="I259" s="18"/>
      <c r="J259" s="18"/>
      <c r="K259" s="18"/>
      <c r="L259" s="18"/>
      <c r="M259" s="18"/>
      <c r="N259" s="1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ht="15.75" customHeight="1">
      <c r="A260" s="18"/>
      <c r="B260" s="18"/>
      <c r="C260" s="71"/>
      <c r="D260" s="18"/>
      <c r="E260" s="71"/>
      <c r="F260" s="71"/>
      <c r="G260" s="18"/>
      <c r="H260" s="17"/>
      <c r="I260" s="18"/>
      <c r="J260" s="18"/>
      <c r="K260" s="18"/>
      <c r="L260" s="18"/>
      <c r="M260" s="18"/>
      <c r="N260" s="1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ht="15.75" customHeight="1">
      <c r="A261" s="18"/>
      <c r="B261" s="18"/>
      <c r="C261" s="71"/>
      <c r="D261" s="18"/>
      <c r="E261" s="71"/>
      <c r="F261" s="71"/>
      <c r="G261" s="18"/>
      <c r="H261" s="17"/>
      <c r="I261" s="18"/>
      <c r="J261" s="18"/>
      <c r="K261" s="18"/>
      <c r="L261" s="18"/>
      <c r="M261" s="18"/>
      <c r="N261" s="1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ht="15.75" customHeight="1">
      <c r="A262" s="18"/>
      <c r="B262" s="18"/>
      <c r="C262" s="71"/>
      <c r="D262" s="18"/>
      <c r="E262" s="71"/>
      <c r="F262" s="71"/>
      <c r="G262" s="18"/>
      <c r="H262" s="17"/>
      <c r="I262" s="18"/>
      <c r="J262" s="18"/>
      <c r="K262" s="18"/>
      <c r="L262" s="18"/>
      <c r="M262" s="18"/>
      <c r="N262" s="1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ht="15.75" customHeight="1">
      <c r="A263" s="18"/>
      <c r="B263" s="18"/>
      <c r="C263" s="71"/>
      <c r="D263" s="18"/>
      <c r="E263" s="71"/>
      <c r="F263" s="71"/>
      <c r="G263" s="18"/>
      <c r="H263" s="17"/>
      <c r="I263" s="18"/>
      <c r="J263" s="18"/>
      <c r="K263" s="18"/>
      <c r="L263" s="18"/>
      <c r="M263" s="18"/>
      <c r="N263" s="1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ht="15.75" customHeight="1">
      <c r="A264" s="18"/>
      <c r="B264" s="18"/>
      <c r="C264" s="71"/>
      <c r="D264" s="18"/>
      <c r="E264" s="71"/>
      <c r="F264" s="71"/>
      <c r="G264" s="18"/>
      <c r="H264" s="17"/>
      <c r="I264" s="18"/>
      <c r="J264" s="18"/>
      <c r="K264" s="18"/>
      <c r="L264" s="18"/>
      <c r="M264" s="18"/>
      <c r="N264" s="16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ht="15.75" customHeight="1">
      <c r="A265" s="18"/>
      <c r="B265" s="18"/>
      <c r="C265" s="71"/>
      <c r="D265" s="18"/>
      <c r="E265" s="71"/>
      <c r="F265" s="71"/>
      <c r="G265" s="18"/>
      <c r="H265" s="17"/>
      <c r="I265" s="18"/>
      <c r="J265" s="18"/>
      <c r="K265" s="18"/>
      <c r="L265" s="18"/>
      <c r="M265" s="18"/>
      <c r="N265" s="16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ht="15.75" customHeight="1">
      <c r="A266" s="18"/>
      <c r="B266" s="18"/>
      <c r="C266" s="71"/>
      <c r="D266" s="18"/>
      <c r="E266" s="71"/>
      <c r="F266" s="71"/>
      <c r="G266" s="18"/>
      <c r="H266" s="17"/>
      <c r="I266" s="18"/>
      <c r="J266" s="18"/>
      <c r="K266" s="18"/>
      <c r="L266" s="18"/>
      <c r="M266" s="18"/>
      <c r="N266" s="16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ht="15.75" customHeight="1">
      <c r="A267" s="18"/>
      <c r="B267" s="18"/>
      <c r="C267" s="71"/>
      <c r="D267" s="18"/>
      <c r="E267" s="71"/>
      <c r="F267" s="71"/>
      <c r="G267" s="18"/>
      <c r="H267" s="17"/>
      <c r="I267" s="18"/>
      <c r="J267" s="18"/>
      <c r="K267" s="18"/>
      <c r="L267" s="18"/>
      <c r="M267" s="18"/>
      <c r="N267" s="16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ht="15.75" customHeight="1">
      <c r="A268" s="18"/>
      <c r="B268" s="18"/>
      <c r="C268" s="71"/>
      <c r="D268" s="18"/>
      <c r="E268" s="71"/>
      <c r="F268" s="71"/>
      <c r="G268" s="18"/>
      <c r="H268" s="17"/>
      <c r="I268" s="18"/>
      <c r="J268" s="18"/>
      <c r="K268" s="18"/>
      <c r="L268" s="18"/>
      <c r="M268" s="18"/>
      <c r="N268" s="16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ht="15.75" customHeight="1">
      <c r="A269" s="18"/>
      <c r="B269" s="18"/>
      <c r="C269" s="71"/>
      <c r="D269" s="18"/>
      <c r="E269" s="71"/>
      <c r="F269" s="71"/>
      <c r="G269" s="18"/>
      <c r="H269" s="17"/>
      <c r="I269" s="18"/>
      <c r="J269" s="18"/>
      <c r="K269" s="18"/>
      <c r="L269" s="18"/>
      <c r="M269" s="18"/>
      <c r="N269" s="16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ht="15.75" customHeight="1">
      <c r="A270" s="18"/>
      <c r="B270" s="18"/>
      <c r="C270" s="71"/>
      <c r="D270" s="18"/>
      <c r="E270" s="71"/>
      <c r="F270" s="71"/>
      <c r="G270" s="18"/>
      <c r="H270" s="17"/>
      <c r="I270" s="18"/>
      <c r="J270" s="18"/>
      <c r="K270" s="18"/>
      <c r="L270" s="18"/>
      <c r="M270" s="18"/>
      <c r="N270" s="16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ht="15.75" customHeight="1">
      <c r="A271" s="18"/>
      <c r="B271" s="18"/>
      <c r="C271" s="71"/>
      <c r="D271" s="18"/>
      <c r="E271" s="71"/>
      <c r="F271" s="71"/>
      <c r="G271" s="18"/>
      <c r="H271" s="17"/>
      <c r="I271" s="18"/>
      <c r="J271" s="18"/>
      <c r="K271" s="18"/>
      <c r="L271" s="18"/>
      <c r="M271" s="18"/>
      <c r="N271" s="16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ht="15.75" customHeight="1">
      <c r="A272" s="18"/>
      <c r="B272" s="18"/>
      <c r="C272" s="71"/>
      <c r="D272" s="18"/>
      <c r="E272" s="71"/>
      <c r="F272" s="71"/>
      <c r="G272" s="18"/>
      <c r="H272" s="17"/>
      <c r="I272" s="18"/>
      <c r="J272" s="18"/>
      <c r="K272" s="18"/>
      <c r="L272" s="18"/>
      <c r="M272" s="18"/>
      <c r="N272" s="16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ht="15.75" customHeight="1">
      <c r="A273" s="18"/>
      <c r="B273" s="18"/>
      <c r="C273" s="71"/>
      <c r="D273" s="18"/>
      <c r="E273" s="71"/>
      <c r="F273" s="71"/>
      <c r="G273" s="18"/>
      <c r="H273" s="17"/>
      <c r="I273" s="18"/>
      <c r="J273" s="18"/>
      <c r="K273" s="18"/>
      <c r="L273" s="18"/>
      <c r="M273" s="18"/>
      <c r="N273" s="16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ht="15.75" customHeight="1">
      <c r="A274" s="18"/>
      <c r="B274" s="18"/>
      <c r="C274" s="71"/>
      <c r="D274" s="18"/>
      <c r="E274" s="71"/>
      <c r="F274" s="71"/>
      <c r="G274" s="18"/>
      <c r="H274" s="17"/>
      <c r="I274" s="18"/>
      <c r="J274" s="18"/>
      <c r="K274" s="18"/>
      <c r="L274" s="18"/>
      <c r="M274" s="18"/>
      <c r="N274" s="16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ht="15.75" customHeight="1">
      <c r="A275" s="18"/>
      <c r="B275" s="18"/>
      <c r="C275" s="71"/>
      <c r="D275" s="18"/>
      <c r="E275" s="71"/>
      <c r="F275" s="71"/>
      <c r="G275" s="18"/>
      <c r="H275" s="17"/>
      <c r="I275" s="18"/>
      <c r="J275" s="18"/>
      <c r="K275" s="18"/>
      <c r="L275" s="18"/>
      <c r="M275" s="18"/>
      <c r="N275" s="16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ht="15.75" customHeight="1">
      <c r="A276" s="18"/>
      <c r="B276" s="18"/>
      <c r="C276" s="71"/>
      <c r="D276" s="18"/>
      <c r="E276" s="71"/>
      <c r="F276" s="71"/>
      <c r="G276" s="18"/>
      <c r="H276" s="17"/>
      <c r="I276" s="18"/>
      <c r="J276" s="18"/>
      <c r="K276" s="18"/>
      <c r="L276" s="18"/>
      <c r="M276" s="18"/>
      <c r="N276" s="16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ht="15.75" customHeight="1">
      <c r="A277" s="18"/>
      <c r="B277" s="18"/>
      <c r="C277" s="71"/>
      <c r="D277" s="18"/>
      <c r="E277" s="71"/>
      <c r="F277" s="71"/>
      <c r="G277" s="18"/>
      <c r="H277" s="17"/>
      <c r="I277" s="18"/>
      <c r="J277" s="18"/>
      <c r="K277" s="18"/>
      <c r="L277" s="18"/>
      <c r="M277" s="18"/>
      <c r="N277" s="16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ht="15.75" customHeight="1">
      <c r="A278" s="18"/>
      <c r="B278" s="18"/>
      <c r="C278" s="71"/>
      <c r="D278" s="18"/>
      <c r="E278" s="71"/>
      <c r="F278" s="71"/>
      <c r="G278" s="18"/>
      <c r="H278" s="17"/>
      <c r="I278" s="18"/>
      <c r="J278" s="18"/>
      <c r="K278" s="18"/>
      <c r="L278" s="18"/>
      <c r="M278" s="18"/>
      <c r="N278" s="16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ht="15.75" customHeight="1">
      <c r="A279" s="18"/>
      <c r="B279" s="18"/>
      <c r="C279" s="71"/>
      <c r="D279" s="18"/>
      <c r="E279" s="71"/>
      <c r="F279" s="71"/>
      <c r="G279" s="18"/>
      <c r="H279" s="17"/>
      <c r="I279" s="18"/>
      <c r="J279" s="18"/>
      <c r="K279" s="18"/>
      <c r="L279" s="18"/>
      <c r="M279" s="18"/>
      <c r="N279" s="16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ht="15.75" customHeight="1">
      <c r="A280" s="18"/>
      <c r="B280" s="18"/>
      <c r="C280" s="71"/>
      <c r="D280" s="18"/>
      <c r="E280" s="71"/>
      <c r="F280" s="71"/>
      <c r="G280" s="18"/>
      <c r="H280" s="17"/>
      <c r="I280" s="18"/>
      <c r="J280" s="18"/>
      <c r="K280" s="18"/>
      <c r="L280" s="18"/>
      <c r="M280" s="18"/>
      <c r="N280" s="16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ht="15.75" customHeight="1">
      <c r="A281" s="18"/>
      <c r="B281" s="18"/>
      <c r="C281" s="71"/>
      <c r="D281" s="18"/>
      <c r="E281" s="71"/>
      <c r="F281" s="71"/>
      <c r="G281" s="18"/>
      <c r="H281" s="17"/>
      <c r="I281" s="18"/>
      <c r="J281" s="18"/>
      <c r="K281" s="18"/>
      <c r="L281" s="18"/>
      <c r="M281" s="18"/>
      <c r="N281" s="16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</row>
  </sheetData>
  <mergeCells count="10">
    <mergeCell ref="A55:F55"/>
    <mergeCell ref="A65:F65"/>
    <mergeCell ref="A75:F75"/>
    <mergeCell ref="A3:F3"/>
    <mergeCell ref="A13:F13"/>
    <mergeCell ref="H13:M13"/>
    <mergeCell ref="A24:F24"/>
    <mergeCell ref="H24:M24"/>
    <mergeCell ref="A35:F35"/>
    <mergeCell ref="A45:F45"/>
  </mergeCells>
  <hyperlinks>
    <hyperlink r:id="rId2" ref="N6"/>
    <hyperlink r:id="rId3" ref="N16"/>
  </hyperlinks>
  <printOptions/>
  <pageMargins bottom="1.0" footer="0.0" header="0.0" left="0.75" right="0.75" top="1.0"/>
  <pageSetup orientation="landscape"/>
  <drawing r:id="rId4"/>
  <legacyDrawing r:id="rId5"/>
  <tableParts count="12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3" width="12.63"/>
    <col customWidth="1" min="4" max="4" width="13.63"/>
    <col customWidth="1" min="5" max="5" width="11.88"/>
    <col customWidth="1" min="6" max="6" width="34.38"/>
  </cols>
  <sheetData>
    <row r="1" ht="15.75" customHeight="1">
      <c r="A1" s="1" t="s">
        <v>0</v>
      </c>
    </row>
    <row r="2" ht="39.0" customHeight="1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7</v>
      </c>
    </row>
    <row r="3" ht="15.75" customHeight="1">
      <c r="A3" s="5" t="s">
        <v>8</v>
      </c>
      <c r="B3" s="5" t="s">
        <v>10</v>
      </c>
      <c r="C3" s="6">
        <v>25.57</v>
      </c>
      <c r="D3" s="6" t="s">
        <v>11</v>
      </c>
      <c r="E3" s="5">
        <v>23.87</v>
      </c>
      <c r="F3" s="5" t="s">
        <v>12</v>
      </c>
    </row>
    <row r="4" ht="15.75" customHeight="1">
      <c r="A4" s="5" t="s">
        <v>8</v>
      </c>
      <c r="B4" s="5" t="s">
        <v>14</v>
      </c>
      <c r="C4" s="6">
        <v>22.88</v>
      </c>
      <c r="D4" s="6" t="s">
        <v>16</v>
      </c>
      <c r="E4" s="5">
        <v>33.93</v>
      </c>
      <c r="F4" s="5"/>
    </row>
    <row r="5" ht="15.75" customHeight="1">
      <c r="A5" s="5" t="s">
        <v>8</v>
      </c>
      <c r="B5" s="5" t="s">
        <v>18</v>
      </c>
      <c r="C5" s="10">
        <v>26.06</v>
      </c>
      <c r="D5" s="6" t="s">
        <v>20</v>
      </c>
      <c r="E5" s="13">
        <v>30.84</v>
      </c>
      <c r="F5" s="5"/>
    </row>
    <row r="6" ht="15.75" customHeight="1">
      <c r="A6" s="5" t="s">
        <v>8</v>
      </c>
      <c r="B6" s="5" t="s">
        <v>22</v>
      </c>
      <c r="C6" s="6">
        <v>23.91</v>
      </c>
      <c r="D6" s="6">
        <v>12326.5</v>
      </c>
      <c r="E6" s="5">
        <v>30.52</v>
      </c>
      <c r="F6" s="5"/>
    </row>
    <row r="7" ht="15.75" customHeight="1">
      <c r="A7" s="5" t="s">
        <v>8</v>
      </c>
      <c r="B7" s="5" t="s">
        <v>26</v>
      </c>
      <c r="C7" s="6">
        <v>26.95</v>
      </c>
      <c r="D7" s="6">
        <v>15061.9</v>
      </c>
      <c r="E7" s="5">
        <v>33.85</v>
      </c>
      <c r="F7" s="5"/>
    </row>
    <row r="8" ht="15.75" customHeight="1">
      <c r="A8" s="5" t="s">
        <v>8</v>
      </c>
      <c r="B8" s="5" t="s">
        <v>27</v>
      </c>
      <c r="C8" s="6">
        <f>META!I58</f>
        <v>25.71</v>
      </c>
      <c r="D8" s="6">
        <f>META!L58</f>
        <v>13662.94</v>
      </c>
      <c r="E8" s="5">
        <f>META!M58</f>
        <v>33.57</v>
      </c>
      <c r="F8" s="5"/>
    </row>
    <row r="9" ht="15.75" customHeight="1">
      <c r="A9" s="21" t="s">
        <v>8</v>
      </c>
      <c r="B9" s="24" t="s">
        <v>38</v>
      </c>
      <c r="C9" s="27">
        <f>META!I68</f>
        <v>23.15</v>
      </c>
      <c r="D9" s="27">
        <f>META!L68</f>
        <v>12238.6</v>
      </c>
      <c r="E9" s="21">
        <f>META!M68</f>
        <v>28.53</v>
      </c>
      <c r="F9" s="21"/>
    </row>
    <row r="10" ht="15.75" customHeight="1">
      <c r="A10" s="5" t="s">
        <v>42</v>
      </c>
      <c r="B10" s="5" t="s">
        <v>10</v>
      </c>
      <c r="C10" s="6" t="s">
        <v>43</v>
      </c>
      <c r="D10" s="6" t="s">
        <v>44</v>
      </c>
      <c r="E10" s="5">
        <v>21.83</v>
      </c>
      <c r="F10" s="5"/>
    </row>
    <row r="11" ht="15.75" customHeight="1">
      <c r="A11" s="5" t="s">
        <v>42</v>
      </c>
      <c r="B11" s="5" t="s">
        <v>14</v>
      </c>
      <c r="C11" s="6">
        <v>22.14</v>
      </c>
      <c r="D11" s="6" t="s">
        <v>47</v>
      </c>
      <c r="E11" s="5">
        <v>41.82</v>
      </c>
      <c r="F11" s="5"/>
    </row>
    <row r="12" ht="15.75" customHeight="1">
      <c r="A12" s="5" t="s">
        <v>42</v>
      </c>
      <c r="B12" s="5" t="s">
        <v>18</v>
      </c>
      <c r="C12" s="6">
        <v>22.52</v>
      </c>
      <c r="D12" s="6" t="s">
        <v>49</v>
      </c>
      <c r="E12" s="5">
        <v>38.47</v>
      </c>
      <c r="F12" s="5"/>
    </row>
    <row r="13" ht="15.75" customHeight="1">
      <c r="A13" s="5" t="s">
        <v>42</v>
      </c>
      <c r="B13" s="5" t="s">
        <v>22</v>
      </c>
      <c r="C13" s="6">
        <v>21.66</v>
      </c>
      <c r="D13" s="6">
        <v>16824.87</v>
      </c>
      <c r="E13" s="5">
        <v>43.48</v>
      </c>
      <c r="F13" s="5"/>
    </row>
    <row r="14" ht="15.75" customHeight="1">
      <c r="A14" s="5" t="s">
        <v>42</v>
      </c>
      <c r="B14" s="5" t="s">
        <v>26</v>
      </c>
      <c r="C14" s="6">
        <v>25.84</v>
      </c>
      <c r="D14" s="6">
        <v>20073.1</v>
      </c>
      <c r="E14" s="5">
        <v>38.89</v>
      </c>
      <c r="F14" s="5"/>
    </row>
    <row r="15" ht="15.75" customHeight="1">
      <c r="A15" s="5" t="s">
        <v>42</v>
      </c>
      <c r="B15" s="5" t="s">
        <v>27</v>
      </c>
      <c r="C15" s="6">
        <f>META!I59</f>
        <v>24.18</v>
      </c>
      <c r="D15" s="6">
        <f>META!L59</f>
        <v>18837.87</v>
      </c>
      <c r="E15" s="5">
        <f>META!M59</f>
        <v>42.48</v>
      </c>
      <c r="F15" s="5"/>
    </row>
    <row r="16" ht="15.75" customHeight="1">
      <c r="A16" s="21" t="s">
        <v>42</v>
      </c>
      <c r="B16" s="24" t="s">
        <v>38</v>
      </c>
      <c r="C16" s="27">
        <f>META!I69</f>
        <v>24.42</v>
      </c>
      <c r="D16" s="27">
        <f>META!L69</f>
        <v>18520.07</v>
      </c>
      <c r="E16" s="21">
        <f>META!M69</f>
        <v>39.99</v>
      </c>
      <c r="F16" s="21"/>
    </row>
    <row r="17" ht="15.75" customHeight="1">
      <c r="A17" s="5" t="s">
        <v>73</v>
      </c>
      <c r="B17" s="5" t="s">
        <v>10</v>
      </c>
      <c r="C17" s="6" t="s">
        <v>74</v>
      </c>
      <c r="D17" s="6" t="s">
        <v>75</v>
      </c>
      <c r="E17" s="5">
        <v>26.54</v>
      </c>
      <c r="F17" s="5"/>
    </row>
    <row r="18" ht="15.75" customHeight="1">
      <c r="A18" s="5" t="s">
        <v>73</v>
      </c>
      <c r="B18" s="5" t="s">
        <v>14</v>
      </c>
      <c r="C18" s="6" t="s">
        <v>77</v>
      </c>
      <c r="D18" s="6" t="s">
        <v>78</v>
      </c>
      <c r="E18" s="5">
        <v>32.53</v>
      </c>
      <c r="F18" s="5"/>
    </row>
    <row r="19" ht="15.75" customHeight="1">
      <c r="A19" s="5" t="s">
        <v>73</v>
      </c>
      <c r="B19" s="5" t="s">
        <v>18</v>
      </c>
      <c r="C19" s="6" t="s">
        <v>79</v>
      </c>
      <c r="D19" s="6" t="s">
        <v>80</v>
      </c>
      <c r="E19" s="5">
        <v>31.51</v>
      </c>
      <c r="F19" s="5"/>
    </row>
    <row r="20" ht="15.75" customHeight="1">
      <c r="A20" s="5" t="s">
        <v>73</v>
      </c>
      <c r="B20" s="5" t="s">
        <v>22</v>
      </c>
      <c r="C20" s="6">
        <v>22.47</v>
      </c>
      <c r="D20" s="6">
        <v>3109.5</v>
      </c>
      <c r="E20" s="5">
        <v>33.11</v>
      </c>
      <c r="F20" s="5"/>
    </row>
    <row r="21" ht="15.75" customHeight="1">
      <c r="A21" s="5" t="s">
        <v>73</v>
      </c>
      <c r="B21" s="5" t="s">
        <v>26</v>
      </c>
      <c r="C21" s="6">
        <v>25.34</v>
      </c>
      <c r="D21" s="6">
        <v>4978.5</v>
      </c>
      <c r="E21" s="5">
        <v>45.49</v>
      </c>
      <c r="F21" s="5"/>
    </row>
    <row r="22" ht="15.75" customHeight="1">
      <c r="A22" s="5" t="s">
        <v>73</v>
      </c>
      <c r="B22" s="5" t="s">
        <v>27</v>
      </c>
      <c r="C22" s="5">
        <f>META!I60</f>
        <v>26.36</v>
      </c>
      <c r="D22" s="6">
        <f>META!L60</f>
        <v>5072.5</v>
      </c>
      <c r="E22" s="5">
        <f>META!M60</f>
        <v>47.24</v>
      </c>
      <c r="F22" s="64"/>
    </row>
    <row r="23" ht="15.75" customHeight="1">
      <c r="A23" s="5" t="s">
        <v>73</v>
      </c>
      <c r="B23" s="5" t="s">
        <v>38</v>
      </c>
      <c r="C23" s="64">
        <f>META!I70</f>
        <v>21.59</v>
      </c>
      <c r="D23" s="66">
        <f>META!L70</f>
        <v>3070.72</v>
      </c>
      <c r="E23" s="64">
        <f>META!M70</f>
        <v>28.28</v>
      </c>
      <c r="F23" s="64"/>
    </row>
    <row r="24" ht="15.75" customHeight="1">
      <c r="A24" s="69"/>
      <c r="D24" s="70"/>
      <c r="E24" s="72"/>
      <c r="F24" s="72"/>
    </row>
    <row r="25" ht="15.75" customHeight="1">
      <c r="A25" s="73"/>
      <c r="B25" s="72"/>
      <c r="E25" s="72"/>
      <c r="F25" s="72"/>
    </row>
    <row r="26" ht="15.75" customHeight="1">
      <c r="A26" s="74"/>
      <c r="B26" s="72"/>
      <c r="E26" s="72"/>
      <c r="F26" s="72"/>
    </row>
    <row r="27" ht="15.75" customHeight="1">
      <c r="A27" s="75"/>
      <c r="B27" s="72"/>
    </row>
    <row r="28" ht="15.75" customHeight="1">
      <c r="A28" s="72"/>
      <c r="B28" s="72"/>
      <c r="C28" s="72"/>
      <c r="D28" s="70"/>
      <c r="E28" s="72"/>
      <c r="F28" s="72"/>
    </row>
    <row r="29" ht="15.75" customHeight="1">
      <c r="A29" s="7"/>
      <c r="B29" s="7"/>
      <c r="C29" s="7"/>
      <c r="D29" s="67"/>
      <c r="E29" s="7"/>
      <c r="F29" s="7"/>
    </row>
    <row r="30" ht="15.75" customHeight="1">
      <c r="A30" s="7"/>
      <c r="B30" s="7"/>
      <c r="C30" s="7"/>
      <c r="D30" s="67"/>
      <c r="E30" s="7"/>
      <c r="F30" s="7"/>
    </row>
    <row r="31" ht="15.75" customHeight="1">
      <c r="A31" s="7"/>
      <c r="B31" s="7"/>
      <c r="C31" s="7"/>
      <c r="D31" s="67"/>
      <c r="E31" s="7"/>
      <c r="F31" s="7"/>
    </row>
    <row r="32" ht="15.75" customHeight="1">
      <c r="A32" s="7"/>
      <c r="B32" s="7"/>
      <c r="C32" s="7"/>
      <c r="D32" s="67"/>
      <c r="E32" s="7"/>
      <c r="F32" s="7"/>
    </row>
    <row r="33" ht="15.75" customHeight="1">
      <c r="A33" s="7"/>
      <c r="B33" s="7"/>
      <c r="C33" s="7"/>
      <c r="D33" s="67"/>
      <c r="E33" s="7"/>
      <c r="F33" s="7"/>
    </row>
    <row r="34" ht="15.75" customHeight="1">
      <c r="A34" s="7"/>
      <c r="B34" s="7"/>
      <c r="C34" s="7"/>
      <c r="D34" s="67"/>
      <c r="E34" s="7"/>
      <c r="F34" s="7"/>
    </row>
    <row r="35" ht="15.75" customHeight="1">
      <c r="A35" s="7"/>
      <c r="B35" s="7"/>
      <c r="C35" s="7"/>
      <c r="D35" s="67"/>
      <c r="E35" s="7"/>
      <c r="F35" s="7"/>
    </row>
    <row r="36" ht="15.75" customHeight="1">
      <c r="A36" s="7"/>
      <c r="B36" s="7"/>
      <c r="C36" s="7"/>
      <c r="D36" s="67"/>
      <c r="E36" s="7"/>
      <c r="F36" s="7"/>
    </row>
    <row r="37" ht="15.75" customHeight="1">
      <c r="A37" s="7"/>
      <c r="B37" s="7"/>
      <c r="C37" s="7"/>
      <c r="D37" s="67"/>
      <c r="E37" s="7"/>
      <c r="F37" s="7"/>
    </row>
    <row r="38" ht="15.75" customHeight="1">
      <c r="A38" s="7"/>
      <c r="B38" s="7"/>
      <c r="C38" s="7"/>
      <c r="D38" s="67"/>
      <c r="E38" s="7"/>
      <c r="F38" s="7"/>
    </row>
    <row r="39" ht="15.75" customHeight="1">
      <c r="A39" s="7"/>
      <c r="B39" s="7"/>
      <c r="C39" s="7"/>
      <c r="D39" s="67"/>
      <c r="E39" s="7"/>
      <c r="F39" s="7"/>
    </row>
    <row r="40" ht="15.75" customHeight="1">
      <c r="A40" s="7"/>
      <c r="B40" s="7"/>
      <c r="C40" s="7"/>
      <c r="D40" s="67"/>
      <c r="E40" s="7"/>
      <c r="F40" s="7"/>
    </row>
    <row r="41" ht="15.75" customHeight="1">
      <c r="A41" s="7"/>
      <c r="B41" s="7"/>
      <c r="C41" s="7"/>
      <c r="D41" s="67"/>
      <c r="E41" s="7"/>
      <c r="F41" s="7"/>
    </row>
    <row r="42" ht="15.75" customHeight="1">
      <c r="A42" s="7"/>
      <c r="B42" s="7"/>
      <c r="C42" s="7"/>
      <c r="D42" s="67"/>
      <c r="E42" s="7"/>
      <c r="F42" s="7"/>
    </row>
    <row r="43" ht="15.75" customHeight="1">
      <c r="A43" s="7"/>
      <c r="B43" s="7"/>
      <c r="C43" s="7"/>
      <c r="D43" s="67"/>
      <c r="E43" s="7"/>
      <c r="F43" s="7"/>
    </row>
    <row r="44" ht="15.75" customHeight="1">
      <c r="A44" s="7"/>
      <c r="B44" s="7"/>
      <c r="C44" s="7"/>
      <c r="D44" s="67"/>
      <c r="E44" s="7"/>
      <c r="F44" s="7"/>
    </row>
    <row r="45" ht="15.75" customHeight="1">
      <c r="A45" s="7"/>
      <c r="B45" s="7"/>
      <c r="C45" s="7"/>
      <c r="D45" s="67"/>
      <c r="E45" s="7"/>
      <c r="F45" s="7"/>
    </row>
    <row r="46" ht="15.75" customHeight="1">
      <c r="A46" s="7"/>
      <c r="B46" s="7"/>
      <c r="C46" s="7"/>
      <c r="D46" s="67"/>
      <c r="E46" s="7"/>
      <c r="F46" s="7"/>
    </row>
    <row r="47" ht="15.75" customHeight="1">
      <c r="A47" s="7"/>
      <c r="B47" s="7"/>
      <c r="C47" s="7"/>
      <c r="D47" s="67"/>
      <c r="E47" s="7"/>
      <c r="F47" s="7"/>
    </row>
    <row r="48" ht="15.75" customHeight="1">
      <c r="A48" s="7"/>
      <c r="B48" s="7"/>
      <c r="C48" s="7"/>
      <c r="D48" s="67"/>
      <c r="E48" s="7"/>
      <c r="F48" s="7"/>
    </row>
    <row r="49" ht="15.75" customHeight="1">
      <c r="A49" s="7"/>
      <c r="B49" s="7"/>
      <c r="C49" s="7"/>
      <c r="D49" s="67"/>
      <c r="E49" s="7"/>
      <c r="F49" s="7"/>
    </row>
    <row r="50" ht="15.75" customHeight="1">
      <c r="A50" s="7"/>
      <c r="B50" s="7"/>
      <c r="C50" s="7"/>
      <c r="D50" s="67"/>
      <c r="E50" s="7"/>
      <c r="F50" s="7"/>
    </row>
    <row r="51" ht="15.75" customHeight="1">
      <c r="A51" s="7"/>
      <c r="B51" s="7"/>
      <c r="C51" s="7"/>
      <c r="D51" s="67"/>
      <c r="E51" s="7"/>
      <c r="F51" s="7"/>
    </row>
    <row r="52" ht="15.75" customHeight="1">
      <c r="A52" s="7"/>
      <c r="B52" s="7"/>
      <c r="C52" s="7"/>
      <c r="D52" s="67"/>
      <c r="E52" s="7"/>
      <c r="F52" s="7"/>
    </row>
    <row r="53" ht="15.75" customHeight="1">
      <c r="A53" s="7"/>
      <c r="B53" s="7"/>
      <c r="C53" s="7"/>
      <c r="D53" s="67"/>
      <c r="E53" s="7"/>
      <c r="F53" s="7"/>
    </row>
    <row r="54" ht="15.75" customHeight="1">
      <c r="A54" s="7"/>
      <c r="B54" s="7"/>
      <c r="C54" s="7"/>
      <c r="D54" s="67"/>
      <c r="E54" s="7"/>
      <c r="F54" s="7"/>
    </row>
    <row r="55" ht="15.75" customHeight="1">
      <c r="A55" s="7"/>
      <c r="B55" s="7"/>
      <c r="C55" s="7"/>
      <c r="D55" s="67"/>
      <c r="E55" s="7"/>
      <c r="F55" s="7"/>
    </row>
    <row r="56" ht="15.75" customHeight="1">
      <c r="A56" s="7"/>
      <c r="B56" s="7"/>
      <c r="C56" s="7"/>
      <c r="D56" s="67"/>
      <c r="E56" s="7"/>
      <c r="F56" s="7"/>
    </row>
    <row r="57" ht="15.75" customHeight="1">
      <c r="A57" s="7"/>
      <c r="B57" s="7"/>
      <c r="C57" s="7"/>
      <c r="D57" s="67"/>
      <c r="E57" s="7"/>
      <c r="F57" s="7"/>
    </row>
    <row r="58" ht="15.75" customHeight="1">
      <c r="A58" s="7"/>
      <c r="B58" s="7"/>
      <c r="C58" s="7"/>
      <c r="D58" s="67"/>
      <c r="E58" s="7"/>
      <c r="F58" s="7"/>
    </row>
    <row r="59" ht="15.75" customHeight="1">
      <c r="A59" s="7"/>
      <c r="B59" s="7"/>
      <c r="C59" s="7"/>
      <c r="D59" s="67"/>
      <c r="E59" s="7"/>
      <c r="F59" s="7"/>
    </row>
    <row r="60" ht="15.75" customHeight="1">
      <c r="A60" s="7"/>
      <c r="B60" s="7"/>
      <c r="C60" s="7"/>
      <c r="D60" s="67"/>
      <c r="E60" s="7"/>
      <c r="F60" s="7"/>
    </row>
    <row r="61" ht="15.75" customHeight="1">
      <c r="A61" s="7"/>
      <c r="B61" s="7"/>
      <c r="C61" s="7"/>
      <c r="D61" s="67"/>
      <c r="E61" s="7"/>
      <c r="F61" s="7"/>
    </row>
    <row r="62" ht="15.75" customHeight="1">
      <c r="A62" s="7"/>
      <c r="B62" s="7"/>
      <c r="C62" s="7"/>
      <c r="D62" s="67"/>
      <c r="E62" s="7"/>
      <c r="F62" s="7"/>
    </row>
    <row r="63" ht="15.75" customHeight="1">
      <c r="A63" s="7"/>
      <c r="B63" s="7"/>
      <c r="C63" s="7"/>
      <c r="D63" s="67"/>
      <c r="E63" s="7"/>
      <c r="F63" s="7"/>
    </row>
    <row r="64" ht="15.75" customHeight="1">
      <c r="A64" s="7"/>
      <c r="B64" s="7"/>
      <c r="C64" s="7"/>
      <c r="D64" s="67"/>
      <c r="E64" s="7"/>
      <c r="F64" s="7"/>
    </row>
    <row r="65" ht="15.75" customHeight="1">
      <c r="A65" s="7"/>
      <c r="B65" s="7"/>
      <c r="C65" s="7"/>
      <c r="D65" s="67"/>
      <c r="E65" s="7"/>
      <c r="F65" s="7"/>
    </row>
    <row r="66" ht="15.75" customHeight="1">
      <c r="A66" s="7"/>
      <c r="B66" s="7"/>
      <c r="C66" s="7"/>
      <c r="D66" s="67"/>
      <c r="E66" s="7"/>
      <c r="F66" s="7"/>
    </row>
    <row r="67" ht="15.75" customHeight="1">
      <c r="A67" s="7"/>
      <c r="B67" s="7"/>
      <c r="C67" s="7"/>
      <c r="D67" s="67"/>
      <c r="E67" s="7"/>
      <c r="F67" s="7"/>
    </row>
    <row r="68" ht="15.75" customHeight="1">
      <c r="A68" s="7"/>
      <c r="B68" s="7"/>
      <c r="C68" s="7"/>
      <c r="D68" s="67"/>
      <c r="E68" s="7"/>
      <c r="F68" s="7"/>
    </row>
    <row r="69" ht="15.75" customHeight="1">
      <c r="A69" s="7"/>
      <c r="B69" s="7"/>
      <c r="C69" s="7"/>
      <c r="D69" s="67"/>
      <c r="E69" s="7"/>
      <c r="F69" s="7"/>
    </row>
    <row r="70" ht="15.75" customHeight="1">
      <c r="A70" s="7"/>
      <c r="B70" s="7"/>
      <c r="C70" s="7"/>
      <c r="D70" s="67"/>
      <c r="E70" s="7"/>
      <c r="F70" s="7"/>
    </row>
    <row r="71" ht="15.75" customHeight="1">
      <c r="A71" s="7"/>
      <c r="B71" s="7"/>
      <c r="C71" s="7"/>
      <c r="D71" s="67"/>
      <c r="E71" s="7"/>
      <c r="F71" s="7"/>
    </row>
    <row r="72" ht="15.75" customHeight="1">
      <c r="A72" s="7"/>
      <c r="B72" s="7"/>
      <c r="C72" s="7"/>
      <c r="D72" s="67"/>
      <c r="E72" s="7"/>
      <c r="F72" s="7"/>
    </row>
    <row r="73" ht="15.75" customHeight="1">
      <c r="A73" s="7"/>
      <c r="B73" s="7"/>
      <c r="C73" s="7"/>
      <c r="D73" s="67"/>
      <c r="E73" s="7"/>
      <c r="F73" s="7"/>
    </row>
    <row r="74" ht="15.75" customHeight="1">
      <c r="A74" s="7"/>
      <c r="B74" s="7"/>
      <c r="C74" s="7"/>
      <c r="D74" s="67"/>
      <c r="E74" s="7"/>
      <c r="F74" s="7"/>
    </row>
    <row r="75" ht="15.75" customHeight="1">
      <c r="A75" s="7"/>
      <c r="B75" s="7"/>
      <c r="C75" s="7"/>
      <c r="D75" s="67"/>
      <c r="E75" s="7"/>
      <c r="F75" s="7"/>
    </row>
    <row r="76" ht="15.75" customHeight="1">
      <c r="A76" s="7"/>
      <c r="B76" s="7"/>
      <c r="C76" s="7"/>
      <c r="D76" s="67"/>
      <c r="E76" s="7"/>
      <c r="F76" s="7"/>
    </row>
    <row r="77" ht="15.75" customHeight="1">
      <c r="A77" s="7"/>
      <c r="B77" s="7"/>
      <c r="C77" s="7"/>
      <c r="D77" s="67"/>
      <c r="E77" s="7"/>
      <c r="F77" s="7"/>
    </row>
    <row r="78" ht="15.75" customHeight="1">
      <c r="A78" s="7"/>
      <c r="B78" s="7"/>
      <c r="C78" s="7"/>
      <c r="D78" s="67"/>
      <c r="E78" s="7"/>
      <c r="F78" s="7"/>
    </row>
    <row r="79" ht="15.75" customHeight="1">
      <c r="A79" s="7"/>
      <c r="B79" s="7"/>
      <c r="C79" s="7"/>
      <c r="D79" s="67"/>
      <c r="E79" s="7"/>
      <c r="F79" s="7"/>
    </row>
    <row r="80" ht="15.75" customHeight="1">
      <c r="A80" s="7"/>
      <c r="B80" s="7"/>
      <c r="C80" s="7"/>
      <c r="D80" s="67"/>
      <c r="E80" s="7"/>
      <c r="F80" s="7"/>
    </row>
    <row r="81" ht="15.75" customHeight="1">
      <c r="A81" s="7"/>
      <c r="B81" s="7"/>
      <c r="C81" s="7"/>
      <c r="D81" s="67"/>
      <c r="E81" s="7"/>
      <c r="F81" s="7"/>
    </row>
    <row r="82" ht="15.75" customHeight="1">
      <c r="A82" s="7"/>
      <c r="B82" s="7"/>
      <c r="C82" s="7"/>
      <c r="D82" s="67"/>
      <c r="E82" s="7"/>
      <c r="F82" s="7"/>
    </row>
    <row r="83" ht="15.75" customHeight="1">
      <c r="A83" s="7"/>
      <c r="B83" s="7"/>
      <c r="C83" s="7"/>
      <c r="D83" s="67"/>
      <c r="E83" s="7"/>
      <c r="F83" s="7"/>
    </row>
    <row r="84" ht="15.75" customHeight="1">
      <c r="A84" s="7"/>
      <c r="B84" s="7"/>
      <c r="C84" s="7"/>
      <c r="D84" s="67"/>
      <c r="E84" s="7"/>
      <c r="F84" s="7"/>
    </row>
    <row r="85" ht="15.75" customHeight="1">
      <c r="A85" s="7"/>
      <c r="B85" s="7"/>
      <c r="C85" s="7"/>
      <c r="D85" s="67"/>
      <c r="E85" s="7"/>
      <c r="F85" s="7"/>
    </row>
    <row r="86" ht="15.75" customHeight="1">
      <c r="A86" s="7"/>
      <c r="B86" s="7"/>
      <c r="C86" s="7"/>
      <c r="D86" s="67"/>
      <c r="E86" s="7"/>
      <c r="F86" s="7"/>
    </row>
    <row r="87" ht="15.75" customHeight="1">
      <c r="A87" s="7"/>
      <c r="B87" s="7"/>
      <c r="C87" s="7"/>
      <c r="D87" s="67"/>
      <c r="E87" s="7"/>
      <c r="F87" s="7"/>
    </row>
    <row r="88" ht="15.75" customHeight="1">
      <c r="A88" s="7"/>
      <c r="B88" s="7"/>
      <c r="C88" s="7"/>
      <c r="D88" s="67"/>
      <c r="E88" s="7"/>
      <c r="F88" s="7"/>
    </row>
    <row r="89" ht="15.75" customHeight="1">
      <c r="A89" s="7"/>
      <c r="B89" s="7"/>
      <c r="C89" s="7"/>
      <c r="D89" s="67"/>
      <c r="E89" s="7"/>
      <c r="F89" s="7"/>
    </row>
    <row r="90" ht="15.75" customHeight="1">
      <c r="A90" s="7"/>
      <c r="B90" s="7"/>
      <c r="C90" s="7"/>
      <c r="D90" s="67"/>
      <c r="E90" s="7"/>
      <c r="F90" s="7"/>
    </row>
    <row r="91" ht="15.75" customHeight="1">
      <c r="A91" s="7"/>
      <c r="B91" s="7"/>
      <c r="C91" s="7"/>
      <c r="D91" s="67"/>
      <c r="E91" s="7"/>
      <c r="F91" s="7"/>
    </row>
    <row r="92" ht="15.75" customHeight="1">
      <c r="A92" s="7"/>
      <c r="B92" s="7"/>
      <c r="C92" s="7"/>
      <c r="D92" s="67"/>
      <c r="E92" s="7"/>
      <c r="F92" s="7"/>
    </row>
    <row r="93" ht="15.75" customHeight="1">
      <c r="A93" s="7"/>
      <c r="B93" s="7"/>
      <c r="C93" s="7"/>
      <c r="D93" s="67"/>
      <c r="E93" s="7"/>
      <c r="F93" s="7"/>
    </row>
    <row r="94" ht="15.75" customHeight="1">
      <c r="A94" s="7"/>
      <c r="B94" s="7"/>
      <c r="C94" s="7"/>
      <c r="D94" s="67"/>
      <c r="E94" s="7"/>
      <c r="F94" s="7"/>
    </row>
    <row r="95" ht="15.75" customHeight="1">
      <c r="A95" s="7"/>
      <c r="B95" s="7"/>
      <c r="C95" s="7"/>
      <c r="D95" s="67"/>
      <c r="E95" s="7"/>
      <c r="F95" s="7"/>
    </row>
    <row r="96" ht="15.75" customHeight="1">
      <c r="A96" s="7"/>
      <c r="B96" s="7"/>
      <c r="C96" s="7"/>
      <c r="D96" s="67"/>
      <c r="E96" s="7"/>
      <c r="F96" s="7"/>
    </row>
    <row r="97" ht="15.75" customHeight="1">
      <c r="A97" s="7"/>
      <c r="B97" s="7"/>
      <c r="C97" s="7"/>
      <c r="D97" s="67"/>
      <c r="E97" s="7"/>
      <c r="F97" s="7"/>
    </row>
    <row r="98" ht="15.75" customHeight="1">
      <c r="A98" s="7"/>
      <c r="B98" s="7"/>
      <c r="C98" s="7"/>
      <c r="D98" s="67"/>
      <c r="E98" s="7"/>
      <c r="F98" s="7"/>
    </row>
    <row r="99" ht="15.75" customHeight="1">
      <c r="A99" s="7"/>
      <c r="B99" s="7"/>
      <c r="C99" s="7"/>
      <c r="D99" s="67"/>
      <c r="E99" s="7"/>
      <c r="F99" s="7"/>
    </row>
    <row r="100" ht="15.75" customHeight="1">
      <c r="A100" s="7"/>
      <c r="B100" s="7"/>
      <c r="C100" s="7"/>
      <c r="D100" s="67"/>
      <c r="E100" s="7"/>
      <c r="F100" s="7"/>
    </row>
    <row r="101" ht="15.75" customHeight="1">
      <c r="A101" s="7"/>
      <c r="B101" s="7"/>
      <c r="C101" s="7"/>
      <c r="D101" s="67"/>
      <c r="E101" s="7"/>
      <c r="F101" s="7"/>
    </row>
    <row r="102" ht="15.75" customHeight="1">
      <c r="A102" s="7"/>
      <c r="B102" s="7"/>
      <c r="C102" s="7"/>
      <c r="D102" s="67"/>
      <c r="E102" s="7"/>
      <c r="F102" s="7"/>
    </row>
    <row r="103" ht="15.75" customHeight="1">
      <c r="A103" s="7"/>
      <c r="B103" s="7"/>
      <c r="C103" s="7"/>
      <c r="D103" s="67"/>
      <c r="E103" s="7"/>
      <c r="F103" s="7"/>
    </row>
    <row r="104" ht="15.75" customHeight="1">
      <c r="A104" s="7"/>
      <c r="B104" s="7"/>
      <c r="C104" s="7"/>
      <c r="D104" s="67"/>
      <c r="E104" s="7"/>
      <c r="F104" s="7"/>
    </row>
    <row r="105" ht="15.75" customHeight="1">
      <c r="A105" s="7"/>
      <c r="B105" s="7"/>
      <c r="C105" s="7"/>
      <c r="D105" s="67"/>
      <c r="E105" s="7"/>
      <c r="F105" s="7"/>
    </row>
    <row r="106" ht="15.75" customHeight="1">
      <c r="A106" s="7"/>
      <c r="B106" s="7"/>
      <c r="C106" s="7"/>
      <c r="D106" s="67"/>
      <c r="E106" s="7"/>
      <c r="F106" s="7"/>
    </row>
    <row r="107" ht="15.75" customHeight="1">
      <c r="A107" s="7"/>
      <c r="B107" s="7"/>
      <c r="C107" s="7"/>
      <c r="D107" s="67"/>
      <c r="E107" s="7"/>
      <c r="F107" s="7"/>
    </row>
    <row r="108" ht="15.75" customHeight="1">
      <c r="A108" s="7"/>
      <c r="B108" s="7"/>
      <c r="C108" s="7"/>
      <c r="D108" s="67"/>
      <c r="E108" s="7"/>
      <c r="F108" s="7"/>
    </row>
    <row r="109" ht="15.75" customHeight="1">
      <c r="A109" s="7"/>
      <c r="B109" s="7"/>
      <c r="C109" s="7"/>
      <c r="D109" s="67"/>
      <c r="E109" s="7"/>
      <c r="F109" s="7"/>
    </row>
    <row r="110" ht="15.75" customHeight="1">
      <c r="A110" s="7"/>
      <c r="B110" s="7"/>
      <c r="C110" s="7"/>
      <c r="D110" s="67"/>
      <c r="E110" s="7"/>
      <c r="F110" s="7"/>
    </row>
    <row r="111" ht="15.75" customHeight="1">
      <c r="A111" s="7"/>
      <c r="B111" s="7"/>
      <c r="C111" s="7"/>
      <c r="D111" s="67"/>
      <c r="E111" s="7"/>
      <c r="F111" s="7"/>
    </row>
    <row r="112" ht="15.75" customHeight="1">
      <c r="A112" s="7"/>
      <c r="B112" s="7"/>
      <c r="C112" s="7"/>
      <c r="D112" s="67"/>
      <c r="E112" s="7"/>
      <c r="F112" s="7"/>
    </row>
    <row r="113" ht="15.75" customHeight="1">
      <c r="A113" s="7"/>
      <c r="B113" s="7"/>
      <c r="C113" s="7"/>
      <c r="D113" s="67"/>
      <c r="E113" s="7"/>
      <c r="F113" s="7"/>
    </row>
    <row r="114" ht="15.75" customHeight="1">
      <c r="A114" s="7"/>
      <c r="B114" s="7"/>
      <c r="C114" s="7"/>
      <c r="D114" s="67"/>
      <c r="E114" s="7"/>
      <c r="F114" s="7"/>
    </row>
    <row r="115" ht="15.75" customHeight="1">
      <c r="A115" s="7"/>
      <c r="B115" s="7"/>
      <c r="C115" s="7"/>
      <c r="D115" s="67"/>
      <c r="E115" s="7"/>
      <c r="F115" s="7"/>
    </row>
    <row r="116" ht="15.75" customHeight="1">
      <c r="A116" s="7"/>
      <c r="B116" s="7"/>
      <c r="C116" s="7"/>
      <c r="D116" s="67"/>
      <c r="E116" s="7"/>
      <c r="F116" s="7"/>
    </row>
    <row r="117" ht="15.75" customHeight="1">
      <c r="A117" s="7"/>
      <c r="B117" s="7"/>
      <c r="C117" s="7"/>
      <c r="D117" s="67"/>
      <c r="E117" s="7"/>
      <c r="F117" s="7"/>
    </row>
    <row r="118" ht="15.75" customHeight="1">
      <c r="A118" s="7"/>
      <c r="B118" s="7"/>
      <c r="C118" s="7"/>
      <c r="D118" s="67"/>
      <c r="E118" s="7"/>
      <c r="F118" s="7"/>
    </row>
    <row r="119" ht="15.75" customHeight="1">
      <c r="A119" s="7"/>
      <c r="B119" s="7"/>
      <c r="C119" s="7"/>
      <c r="D119" s="67"/>
      <c r="E119" s="7"/>
      <c r="F119" s="7"/>
    </row>
    <row r="120" ht="15.75" customHeight="1">
      <c r="A120" s="7"/>
      <c r="B120" s="7"/>
      <c r="C120" s="7"/>
      <c r="D120" s="67"/>
      <c r="E120" s="7"/>
      <c r="F120" s="7"/>
    </row>
    <row r="121" ht="15.75" customHeight="1">
      <c r="A121" s="7"/>
      <c r="B121" s="7"/>
      <c r="C121" s="7"/>
      <c r="D121" s="67"/>
      <c r="E121" s="7"/>
      <c r="F121" s="7"/>
    </row>
    <row r="122" ht="15.75" customHeight="1">
      <c r="A122" s="7"/>
      <c r="B122" s="7"/>
      <c r="C122" s="7"/>
      <c r="D122" s="67"/>
      <c r="E122" s="7"/>
      <c r="F122" s="7"/>
    </row>
    <row r="123" ht="15.75" customHeight="1">
      <c r="A123" s="7"/>
      <c r="B123" s="7"/>
      <c r="C123" s="7"/>
      <c r="D123" s="67"/>
      <c r="E123" s="7"/>
      <c r="F123" s="7"/>
    </row>
    <row r="124" ht="15.75" customHeight="1">
      <c r="A124" s="7"/>
      <c r="B124" s="7"/>
      <c r="C124" s="7"/>
      <c r="D124" s="67"/>
      <c r="E124" s="7"/>
      <c r="F124" s="7"/>
    </row>
    <row r="125" ht="15.75" customHeight="1">
      <c r="A125" s="7"/>
      <c r="B125" s="7"/>
      <c r="C125" s="7"/>
      <c r="D125" s="67"/>
      <c r="E125" s="7"/>
      <c r="F125" s="7"/>
    </row>
    <row r="126" ht="15.75" customHeight="1">
      <c r="A126" s="7"/>
      <c r="B126" s="7"/>
      <c r="C126" s="7"/>
      <c r="D126" s="67"/>
      <c r="E126" s="7"/>
      <c r="F126" s="7"/>
    </row>
    <row r="127" ht="15.75" customHeight="1">
      <c r="A127" s="7"/>
      <c r="B127" s="7"/>
      <c r="C127" s="7"/>
      <c r="D127" s="67"/>
      <c r="E127" s="7"/>
      <c r="F127" s="7"/>
    </row>
    <row r="128" ht="15.75" customHeight="1">
      <c r="A128" s="7"/>
      <c r="B128" s="7"/>
      <c r="C128" s="7"/>
      <c r="D128" s="67"/>
      <c r="E128" s="7"/>
      <c r="F128" s="7"/>
    </row>
    <row r="129" ht="15.75" customHeight="1">
      <c r="A129" s="7"/>
      <c r="B129" s="7"/>
      <c r="C129" s="7"/>
      <c r="D129" s="67"/>
      <c r="E129" s="7"/>
      <c r="F129" s="7"/>
    </row>
    <row r="130" ht="15.75" customHeight="1">
      <c r="A130" s="7"/>
      <c r="B130" s="7"/>
      <c r="C130" s="7"/>
      <c r="D130" s="67"/>
      <c r="E130" s="7"/>
      <c r="F130" s="7"/>
    </row>
    <row r="131" ht="15.75" customHeight="1">
      <c r="A131" s="7"/>
      <c r="B131" s="7"/>
      <c r="C131" s="7"/>
      <c r="D131" s="67"/>
      <c r="E131" s="7"/>
      <c r="F131" s="7"/>
    </row>
    <row r="132" ht="15.75" customHeight="1">
      <c r="A132" s="7"/>
      <c r="B132" s="7"/>
      <c r="C132" s="7"/>
      <c r="D132" s="67"/>
      <c r="E132" s="7"/>
      <c r="F132" s="7"/>
    </row>
    <row r="133" ht="15.75" customHeight="1">
      <c r="A133" s="7"/>
      <c r="B133" s="7"/>
      <c r="C133" s="7"/>
      <c r="D133" s="67"/>
      <c r="E133" s="7"/>
      <c r="F133" s="7"/>
    </row>
    <row r="134" ht="15.75" customHeight="1">
      <c r="A134" s="7"/>
      <c r="B134" s="7"/>
      <c r="C134" s="7"/>
      <c r="D134" s="67"/>
      <c r="E134" s="7"/>
      <c r="F134" s="7"/>
    </row>
    <row r="135" ht="15.75" customHeight="1">
      <c r="A135" s="7"/>
      <c r="B135" s="7"/>
      <c r="C135" s="7"/>
      <c r="D135" s="67"/>
      <c r="E135" s="7"/>
      <c r="F135" s="7"/>
    </row>
    <row r="136" ht="15.75" customHeight="1">
      <c r="A136" s="7"/>
      <c r="B136" s="7"/>
      <c r="C136" s="7"/>
      <c r="D136" s="67"/>
      <c r="E136" s="7"/>
      <c r="F136" s="7"/>
    </row>
    <row r="137" ht="15.75" customHeight="1">
      <c r="A137" s="7"/>
      <c r="B137" s="7"/>
      <c r="C137" s="7"/>
      <c r="D137" s="67"/>
      <c r="E137" s="7"/>
      <c r="F137" s="7"/>
    </row>
    <row r="138" ht="15.75" customHeight="1">
      <c r="A138" s="7"/>
      <c r="B138" s="7"/>
      <c r="C138" s="7"/>
      <c r="D138" s="67"/>
      <c r="E138" s="7"/>
      <c r="F138" s="7"/>
    </row>
    <row r="139" ht="15.75" customHeight="1">
      <c r="A139" s="7"/>
      <c r="B139" s="7"/>
      <c r="C139" s="7"/>
      <c r="D139" s="67"/>
      <c r="E139" s="7"/>
      <c r="F139" s="7"/>
    </row>
    <row r="140" ht="15.75" customHeight="1">
      <c r="A140" s="7"/>
      <c r="B140" s="7"/>
      <c r="C140" s="7"/>
      <c r="D140" s="67"/>
      <c r="E140" s="7"/>
      <c r="F140" s="7"/>
    </row>
    <row r="141" ht="15.75" customHeight="1">
      <c r="A141" s="7"/>
      <c r="B141" s="7"/>
      <c r="C141" s="7"/>
      <c r="D141" s="67"/>
      <c r="E141" s="7"/>
      <c r="F141" s="7"/>
    </row>
    <row r="142" ht="15.75" customHeight="1">
      <c r="A142" s="7"/>
      <c r="B142" s="7"/>
      <c r="C142" s="7"/>
      <c r="D142" s="67"/>
      <c r="E142" s="7"/>
      <c r="F142" s="7"/>
    </row>
    <row r="143" ht="15.75" customHeight="1">
      <c r="A143" s="7"/>
      <c r="B143" s="7"/>
      <c r="C143" s="7"/>
      <c r="D143" s="67"/>
      <c r="E143" s="7"/>
      <c r="F143" s="7"/>
    </row>
    <row r="144" ht="15.75" customHeight="1">
      <c r="A144" s="7"/>
      <c r="B144" s="7"/>
      <c r="C144" s="7"/>
      <c r="D144" s="67"/>
      <c r="E144" s="7"/>
      <c r="F144" s="7"/>
    </row>
    <row r="145" ht="15.75" customHeight="1">
      <c r="A145" s="7"/>
      <c r="B145" s="7"/>
      <c r="C145" s="7"/>
      <c r="D145" s="67"/>
      <c r="E145" s="7"/>
      <c r="F145" s="7"/>
    </row>
    <row r="146" ht="15.75" customHeight="1">
      <c r="A146" s="7"/>
      <c r="B146" s="7"/>
      <c r="C146" s="7"/>
      <c r="D146" s="67"/>
      <c r="E146" s="7"/>
      <c r="F146" s="7"/>
    </row>
    <row r="147" ht="15.75" customHeight="1">
      <c r="A147" s="7"/>
      <c r="B147" s="7"/>
      <c r="C147" s="7"/>
      <c r="D147" s="67"/>
      <c r="E147" s="7"/>
      <c r="F147" s="7"/>
    </row>
    <row r="148" ht="15.75" customHeight="1">
      <c r="A148" s="7"/>
      <c r="B148" s="7"/>
      <c r="C148" s="7"/>
      <c r="D148" s="67"/>
      <c r="E148" s="7"/>
      <c r="F148" s="7"/>
    </row>
    <row r="149" ht="15.75" customHeight="1">
      <c r="A149" s="7"/>
      <c r="B149" s="7"/>
      <c r="C149" s="7"/>
      <c r="D149" s="67"/>
      <c r="E149" s="7"/>
      <c r="F149" s="7"/>
    </row>
    <row r="150" ht="15.75" customHeight="1">
      <c r="A150" s="7"/>
      <c r="B150" s="7"/>
      <c r="C150" s="7"/>
      <c r="D150" s="67"/>
      <c r="E150" s="7"/>
      <c r="F150" s="7"/>
    </row>
    <row r="151" ht="15.75" customHeight="1">
      <c r="A151" s="7"/>
      <c r="B151" s="7"/>
      <c r="C151" s="7"/>
      <c r="D151" s="67"/>
      <c r="E151" s="7"/>
      <c r="F151" s="7"/>
    </row>
    <row r="152" ht="15.75" customHeight="1">
      <c r="A152" s="7"/>
      <c r="B152" s="7"/>
      <c r="C152" s="7"/>
      <c r="D152" s="67"/>
      <c r="E152" s="7"/>
      <c r="F152" s="7"/>
    </row>
    <row r="153" ht="15.75" customHeight="1">
      <c r="A153" s="7"/>
      <c r="B153" s="7"/>
      <c r="C153" s="7"/>
      <c r="D153" s="67"/>
      <c r="E153" s="7"/>
      <c r="F153" s="7"/>
    </row>
    <row r="154" ht="15.75" customHeight="1">
      <c r="A154" s="7"/>
      <c r="B154" s="7"/>
      <c r="C154" s="7"/>
      <c r="D154" s="67"/>
      <c r="E154" s="7"/>
      <c r="F154" s="7"/>
    </row>
    <row r="155" ht="15.75" customHeight="1">
      <c r="A155" s="7"/>
      <c r="B155" s="7"/>
      <c r="C155" s="7"/>
      <c r="D155" s="67"/>
      <c r="E155" s="7"/>
      <c r="F155" s="7"/>
    </row>
    <row r="156" ht="15.75" customHeight="1">
      <c r="A156" s="7"/>
      <c r="B156" s="7"/>
      <c r="C156" s="7"/>
      <c r="D156" s="67"/>
      <c r="E156" s="7"/>
      <c r="F156" s="7"/>
    </row>
    <row r="157" ht="15.75" customHeight="1">
      <c r="A157" s="7"/>
      <c r="B157" s="7"/>
      <c r="C157" s="7"/>
      <c r="D157" s="67"/>
      <c r="E157" s="7"/>
      <c r="F157" s="7"/>
    </row>
    <row r="158" ht="15.75" customHeight="1">
      <c r="A158" s="7"/>
      <c r="B158" s="7"/>
      <c r="C158" s="7"/>
      <c r="D158" s="67"/>
      <c r="E158" s="7"/>
      <c r="F158" s="7"/>
    </row>
    <row r="159" ht="15.75" customHeight="1">
      <c r="A159" s="7"/>
      <c r="B159" s="7"/>
      <c r="C159" s="7"/>
      <c r="D159" s="67"/>
      <c r="E159" s="7"/>
      <c r="F159" s="7"/>
    </row>
    <row r="160" ht="15.75" customHeight="1">
      <c r="A160" s="7"/>
      <c r="B160" s="7"/>
      <c r="C160" s="7"/>
      <c r="D160" s="67"/>
      <c r="E160" s="7"/>
      <c r="F160" s="7"/>
    </row>
    <row r="161" ht="15.75" customHeight="1">
      <c r="A161" s="7"/>
      <c r="B161" s="7"/>
      <c r="C161" s="7"/>
      <c r="D161" s="67"/>
      <c r="E161" s="7"/>
      <c r="F161" s="7"/>
    </row>
    <row r="162" ht="15.75" customHeight="1">
      <c r="A162" s="7"/>
      <c r="B162" s="7"/>
      <c r="C162" s="7"/>
      <c r="D162" s="67"/>
      <c r="E162" s="7"/>
      <c r="F162" s="7"/>
    </row>
    <row r="163" ht="15.75" customHeight="1">
      <c r="A163" s="7"/>
      <c r="B163" s="7"/>
      <c r="C163" s="7"/>
      <c r="D163" s="67"/>
      <c r="E163" s="7"/>
      <c r="F163" s="7"/>
    </row>
    <row r="164" ht="15.75" customHeight="1">
      <c r="A164" s="7"/>
      <c r="B164" s="7"/>
      <c r="C164" s="7"/>
      <c r="D164" s="67"/>
      <c r="E164" s="7"/>
      <c r="F164" s="7"/>
    </row>
    <row r="165" ht="15.75" customHeight="1">
      <c r="A165" s="7"/>
      <c r="B165" s="7"/>
      <c r="C165" s="7"/>
      <c r="D165" s="67"/>
      <c r="E165" s="7"/>
      <c r="F165" s="7"/>
    </row>
    <row r="166" ht="15.75" customHeight="1">
      <c r="A166" s="7"/>
      <c r="B166" s="7"/>
      <c r="C166" s="7"/>
      <c r="D166" s="67"/>
      <c r="E166" s="7"/>
      <c r="F166" s="7"/>
    </row>
    <row r="167" ht="15.75" customHeight="1">
      <c r="A167" s="7"/>
      <c r="B167" s="7"/>
      <c r="C167" s="7"/>
      <c r="D167" s="67"/>
      <c r="E167" s="7"/>
      <c r="F167" s="7"/>
    </row>
    <row r="168" ht="15.75" customHeight="1">
      <c r="A168" s="7"/>
      <c r="B168" s="7"/>
      <c r="C168" s="7"/>
      <c r="D168" s="67"/>
      <c r="E168" s="7"/>
      <c r="F168" s="7"/>
    </row>
    <row r="169" ht="15.75" customHeight="1">
      <c r="A169" s="7"/>
      <c r="B169" s="7"/>
      <c r="C169" s="7"/>
      <c r="D169" s="67"/>
      <c r="E169" s="7"/>
      <c r="F169" s="7"/>
    </row>
    <row r="170" ht="15.75" customHeight="1">
      <c r="A170" s="7"/>
      <c r="B170" s="7"/>
      <c r="C170" s="7"/>
      <c r="D170" s="67"/>
      <c r="E170" s="7"/>
      <c r="F170" s="7"/>
    </row>
    <row r="171" ht="15.75" customHeight="1">
      <c r="A171" s="7"/>
      <c r="B171" s="7"/>
      <c r="C171" s="7"/>
      <c r="D171" s="67"/>
      <c r="E171" s="7"/>
      <c r="F171" s="7"/>
    </row>
    <row r="172" ht="15.75" customHeight="1">
      <c r="A172" s="7"/>
      <c r="B172" s="7"/>
      <c r="C172" s="7"/>
      <c r="D172" s="67"/>
      <c r="E172" s="7"/>
      <c r="F172" s="7"/>
    </row>
    <row r="173" ht="15.75" customHeight="1">
      <c r="A173" s="7"/>
      <c r="B173" s="7"/>
      <c r="C173" s="7"/>
      <c r="D173" s="67"/>
      <c r="E173" s="7"/>
      <c r="F173" s="7"/>
    </row>
    <row r="174" ht="15.75" customHeight="1">
      <c r="A174" s="7"/>
      <c r="B174" s="7"/>
      <c r="C174" s="7"/>
      <c r="D174" s="67"/>
      <c r="E174" s="7"/>
      <c r="F174" s="7"/>
    </row>
    <row r="175" ht="15.75" customHeight="1">
      <c r="A175" s="7"/>
      <c r="B175" s="7"/>
      <c r="C175" s="7"/>
      <c r="D175" s="67"/>
      <c r="E175" s="7"/>
      <c r="F175" s="7"/>
    </row>
    <row r="176" ht="15.75" customHeight="1">
      <c r="A176" s="7"/>
      <c r="B176" s="7"/>
      <c r="C176" s="7"/>
      <c r="D176" s="67"/>
      <c r="E176" s="7"/>
      <c r="F176" s="7"/>
    </row>
    <row r="177" ht="15.75" customHeight="1">
      <c r="A177" s="7"/>
      <c r="B177" s="7"/>
      <c r="C177" s="7"/>
      <c r="D177" s="67"/>
      <c r="E177" s="7"/>
      <c r="F177" s="7"/>
    </row>
    <row r="178" ht="15.75" customHeight="1">
      <c r="A178" s="7"/>
      <c r="B178" s="7"/>
      <c r="C178" s="7"/>
      <c r="D178" s="67"/>
      <c r="E178" s="7"/>
      <c r="F178" s="7"/>
    </row>
    <row r="179" ht="15.75" customHeight="1">
      <c r="A179" s="7"/>
      <c r="B179" s="7"/>
      <c r="C179" s="7"/>
      <c r="D179" s="67"/>
      <c r="E179" s="7"/>
      <c r="F179" s="7"/>
    </row>
    <row r="180" ht="15.75" customHeight="1">
      <c r="A180" s="7"/>
      <c r="B180" s="7"/>
      <c r="C180" s="7"/>
      <c r="D180" s="67"/>
      <c r="E180" s="7"/>
      <c r="F180" s="7"/>
    </row>
    <row r="181" ht="15.75" customHeight="1">
      <c r="A181" s="7"/>
      <c r="B181" s="7"/>
      <c r="C181" s="7"/>
      <c r="D181" s="67"/>
      <c r="E181" s="7"/>
      <c r="F181" s="7"/>
    </row>
    <row r="182" ht="15.75" customHeight="1">
      <c r="A182" s="7"/>
      <c r="B182" s="7"/>
      <c r="C182" s="7"/>
      <c r="D182" s="67"/>
      <c r="E182" s="7"/>
      <c r="F182" s="7"/>
    </row>
    <row r="183" ht="15.75" customHeight="1">
      <c r="A183" s="7"/>
      <c r="B183" s="7"/>
      <c r="C183" s="7"/>
      <c r="D183" s="67"/>
      <c r="E183" s="7"/>
      <c r="F183" s="7"/>
    </row>
    <row r="184" ht="15.75" customHeight="1">
      <c r="A184" s="7"/>
      <c r="B184" s="7"/>
      <c r="C184" s="7"/>
      <c r="D184" s="67"/>
      <c r="E184" s="7"/>
      <c r="F184" s="7"/>
    </row>
    <row r="185" ht="15.75" customHeight="1">
      <c r="A185" s="7"/>
      <c r="B185" s="7"/>
      <c r="C185" s="7"/>
      <c r="D185" s="67"/>
      <c r="E185" s="7"/>
      <c r="F185" s="7"/>
    </row>
    <row r="186" ht="15.75" customHeight="1">
      <c r="A186" s="7"/>
      <c r="B186" s="7"/>
      <c r="C186" s="7"/>
      <c r="D186" s="67"/>
      <c r="E186" s="7"/>
      <c r="F186" s="7"/>
    </row>
    <row r="187" ht="15.75" customHeight="1">
      <c r="A187" s="7"/>
      <c r="B187" s="7"/>
      <c r="C187" s="7"/>
      <c r="D187" s="67"/>
      <c r="E187" s="7"/>
      <c r="F187" s="7"/>
    </row>
    <row r="188" ht="15.75" customHeight="1">
      <c r="A188" s="7"/>
      <c r="B188" s="7"/>
      <c r="C188" s="7"/>
      <c r="D188" s="67"/>
      <c r="E188" s="7"/>
      <c r="F188" s="7"/>
    </row>
    <row r="189" ht="15.75" customHeight="1">
      <c r="A189" s="7"/>
      <c r="B189" s="7"/>
      <c r="C189" s="7"/>
      <c r="D189" s="67"/>
      <c r="E189" s="7"/>
      <c r="F189" s="7"/>
    </row>
    <row r="190" ht="15.75" customHeight="1">
      <c r="A190" s="7"/>
      <c r="B190" s="7"/>
      <c r="C190" s="7"/>
      <c r="D190" s="67"/>
      <c r="E190" s="7"/>
      <c r="F190" s="7"/>
    </row>
    <row r="191" ht="15.75" customHeight="1">
      <c r="A191" s="7"/>
      <c r="B191" s="7"/>
      <c r="C191" s="7"/>
      <c r="D191" s="67"/>
      <c r="E191" s="7"/>
      <c r="F191" s="7"/>
    </row>
    <row r="192" ht="15.75" customHeight="1">
      <c r="A192" s="7"/>
      <c r="B192" s="7"/>
      <c r="C192" s="7"/>
      <c r="D192" s="67"/>
      <c r="E192" s="7"/>
      <c r="F192" s="7"/>
    </row>
    <row r="193" ht="15.75" customHeight="1">
      <c r="A193" s="7"/>
      <c r="B193" s="7"/>
      <c r="C193" s="7"/>
      <c r="D193" s="67"/>
      <c r="E193" s="7"/>
      <c r="F193" s="7"/>
    </row>
    <row r="194" ht="15.75" customHeight="1">
      <c r="A194" s="7"/>
      <c r="B194" s="7"/>
      <c r="C194" s="7"/>
      <c r="D194" s="67"/>
      <c r="E194" s="7"/>
      <c r="F194" s="7"/>
    </row>
    <row r="195" ht="15.75" customHeight="1">
      <c r="A195" s="7"/>
      <c r="B195" s="7"/>
      <c r="C195" s="7"/>
      <c r="D195" s="67"/>
      <c r="E195" s="7"/>
      <c r="F195" s="7"/>
    </row>
    <row r="196" ht="15.75" customHeight="1">
      <c r="A196" s="7"/>
      <c r="B196" s="7"/>
      <c r="C196" s="7"/>
      <c r="D196" s="67"/>
      <c r="E196" s="7"/>
      <c r="F196" s="7"/>
    </row>
    <row r="197" ht="15.75" customHeight="1">
      <c r="A197" s="7"/>
      <c r="B197" s="7"/>
      <c r="C197" s="7"/>
      <c r="D197" s="67"/>
      <c r="E197" s="7"/>
      <c r="F197" s="7"/>
    </row>
    <row r="198" ht="15.75" customHeight="1">
      <c r="A198" s="7"/>
      <c r="B198" s="7"/>
      <c r="C198" s="7"/>
      <c r="D198" s="67"/>
      <c r="E198" s="7"/>
      <c r="F198" s="7"/>
    </row>
    <row r="199" ht="15.75" customHeight="1">
      <c r="A199" s="7"/>
      <c r="B199" s="7"/>
      <c r="C199" s="7"/>
      <c r="D199" s="67"/>
      <c r="E199" s="7"/>
      <c r="F199" s="7"/>
    </row>
    <row r="200" ht="15.75" customHeight="1">
      <c r="A200" s="7"/>
      <c r="B200" s="7"/>
      <c r="C200" s="7"/>
      <c r="D200" s="67"/>
      <c r="E200" s="7"/>
      <c r="F200" s="7"/>
    </row>
    <row r="201" ht="15.75" customHeight="1">
      <c r="A201" s="7"/>
      <c r="B201" s="7"/>
      <c r="C201" s="7"/>
      <c r="D201" s="67"/>
      <c r="E201" s="7"/>
      <c r="F201" s="7"/>
    </row>
    <row r="202" ht="15.75" customHeight="1">
      <c r="A202" s="7"/>
      <c r="B202" s="7"/>
      <c r="C202" s="7"/>
      <c r="D202" s="67"/>
      <c r="E202" s="7"/>
      <c r="F202" s="7"/>
    </row>
    <row r="203" ht="15.75" customHeight="1">
      <c r="A203" s="7"/>
      <c r="B203" s="7"/>
      <c r="C203" s="7"/>
      <c r="D203" s="67"/>
      <c r="E203" s="7"/>
      <c r="F203" s="7"/>
    </row>
    <row r="204" ht="15.75" customHeight="1">
      <c r="A204" s="7"/>
      <c r="B204" s="7"/>
      <c r="C204" s="7"/>
      <c r="D204" s="67"/>
      <c r="E204" s="7"/>
      <c r="F204" s="7"/>
    </row>
    <row r="205" ht="15.75" customHeight="1">
      <c r="A205" s="7"/>
      <c r="B205" s="7"/>
      <c r="C205" s="7"/>
      <c r="D205" s="67"/>
      <c r="E205" s="7"/>
      <c r="F205" s="7"/>
    </row>
    <row r="206" ht="15.75" customHeight="1">
      <c r="A206" s="7"/>
      <c r="B206" s="7"/>
      <c r="C206" s="7"/>
      <c r="D206" s="67"/>
      <c r="E206" s="7"/>
      <c r="F206" s="7"/>
    </row>
    <row r="207" ht="15.75" customHeight="1">
      <c r="A207" s="7"/>
      <c r="B207" s="7"/>
      <c r="C207" s="7"/>
      <c r="D207" s="67"/>
      <c r="E207" s="7"/>
      <c r="F207" s="7"/>
    </row>
    <row r="208" ht="15.75" customHeight="1">
      <c r="A208" s="7"/>
      <c r="B208" s="7"/>
      <c r="C208" s="7"/>
      <c r="D208" s="67"/>
      <c r="E208" s="7"/>
      <c r="F208" s="7"/>
    </row>
    <row r="209" ht="15.75" customHeight="1">
      <c r="A209" s="7"/>
      <c r="B209" s="7"/>
      <c r="C209" s="7"/>
      <c r="D209" s="67"/>
      <c r="E209" s="7"/>
      <c r="F209" s="7"/>
    </row>
    <row r="210" ht="15.75" customHeight="1">
      <c r="A210" s="7"/>
      <c r="B210" s="7"/>
      <c r="C210" s="7"/>
      <c r="D210" s="67"/>
      <c r="E210" s="7"/>
      <c r="F210" s="7"/>
    </row>
    <row r="211" ht="15.75" customHeight="1">
      <c r="A211" s="7"/>
      <c r="B211" s="7"/>
      <c r="C211" s="7"/>
      <c r="D211" s="67"/>
      <c r="E211" s="7"/>
      <c r="F211" s="7"/>
    </row>
    <row r="212" ht="15.75" customHeight="1">
      <c r="A212" s="7"/>
      <c r="B212" s="7"/>
      <c r="C212" s="7"/>
      <c r="D212" s="67"/>
      <c r="E212" s="7"/>
      <c r="F212" s="7"/>
    </row>
    <row r="213" ht="15.75" customHeight="1">
      <c r="A213" s="7"/>
      <c r="B213" s="7"/>
      <c r="C213" s="7"/>
      <c r="D213" s="67"/>
      <c r="E213" s="7"/>
      <c r="F213" s="7"/>
    </row>
    <row r="214" ht="15.75" customHeight="1">
      <c r="A214" s="7"/>
      <c r="B214" s="7"/>
      <c r="C214" s="7"/>
      <c r="D214" s="67"/>
      <c r="E214" s="7"/>
      <c r="F214" s="7"/>
    </row>
    <row r="215" ht="15.75" customHeight="1">
      <c r="A215" s="7"/>
      <c r="B215" s="7"/>
      <c r="C215" s="7"/>
      <c r="D215" s="67"/>
      <c r="E215" s="7"/>
      <c r="F215" s="7"/>
    </row>
    <row r="216" ht="15.75" customHeight="1">
      <c r="A216" s="7"/>
      <c r="B216" s="7"/>
      <c r="C216" s="7"/>
      <c r="D216" s="67"/>
      <c r="E216" s="7"/>
      <c r="F216" s="7"/>
    </row>
    <row r="217" ht="15.75" customHeight="1">
      <c r="A217" s="7"/>
      <c r="B217" s="7"/>
      <c r="C217" s="7"/>
      <c r="D217" s="67"/>
      <c r="E217" s="7"/>
      <c r="F217" s="7"/>
    </row>
    <row r="218" ht="15.75" customHeight="1">
      <c r="A218" s="7"/>
      <c r="B218" s="7"/>
      <c r="C218" s="7"/>
      <c r="D218" s="67"/>
      <c r="E218" s="7"/>
      <c r="F218" s="7"/>
    </row>
    <row r="219" ht="15.75" customHeight="1">
      <c r="A219" s="7"/>
      <c r="B219" s="7"/>
      <c r="C219" s="7"/>
      <c r="D219" s="67"/>
      <c r="E219" s="7"/>
      <c r="F219" s="7"/>
    </row>
    <row r="220" ht="15.75" customHeight="1">
      <c r="A220" s="7"/>
      <c r="B220" s="7"/>
      <c r="C220" s="7"/>
      <c r="D220" s="67"/>
      <c r="E220" s="7"/>
      <c r="F220" s="7"/>
    </row>
    <row r="221" ht="15.75" customHeight="1">
      <c r="A221" s="7"/>
      <c r="B221" s="7"/>
      <c r="C221" s="7"/>
      <c r="D221" s="67"/>
      <c r="E221" s="7"/>
      <c r="F221" s="7"/>
    </row>
    <row r="222" ht="15.75" customHeight="1">
      <c r="A222" s="7"/>
      <c r="B222" s="7"/>
      <c r="C222" s="7"/>
      <c r="D222" s="67"/>
      <c r="E222" s="7"/>
      <c r="F222" s="7"/>
    </row>
    <row r="223" ht="15.75" customHeight="1">
      <c r="A223" s="7"/>
      <c r="B223" s="7"/>
      <c r="C223" s="7"/>
      <c r="D223" s="6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5">
    <mergeCell ref="A1:F1"/>
    <mergeCell ref="A24:C24"/>
    <mergeCell ref="B25:D25"/>
    <mergeCell ref="B26:D26"/>
    <mergeCell ref="B27:F27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 outlineLevelCol="1"/>
  <cols>
    <col customWidth="1" min="1" max="1" width="12.63"/>
    <col customWidth="1" min="2" max="2" width="13.5"/>
    <col customWidth="1" min="3" max="3" width="9.63"/>
    <col customWidth="1" min="4" max="4" width="10.63"/>
    <col customWidth="1" min="5" max="5" width="14.0"/>
    <col customWidth="1" min="6" max="6" width="9.75"/>
    <col customWidth="1" min="7" max="7" width="12.38"/>
    <col customWidth="1" min="8" max="8" width="10.0"/>
    <col customWidth="1" min="9" max="9" width="13.88"/>
    <col customWidth="1" min="10" max="10" width="12.5"/>
    <col customWidth="1" min="11" max="11" width="12.0"/>
  </cols>
  <sheetData>
    <row r="1" ht="15.75" customHeight="1" collapsed="1">
      <c r="A1" s="20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6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ht="15.75" hidden="1" customHeight="1" outlineLevel="1">
      <c r="A2" s="29"/>
      <c r="B2" s="31"/>
      <c r="C2" s="31"/>
      <c r="D2" s="31"/>
      <c r="E2" s="31"/>
      <c r="F2" s="31"/>
      <c r="G2" s="33"/>
      <c r="H2" s="33"/>
      <c r="I2" s="34"/>
      <c r="J2" s="35"/>
      <c r="K2" s="28"/>
      <c r="L2" s="34"/>
      <c r="M2" s="34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ht="36.0" hidden="1" customHeight="1" outlineLevel="1">
      <c r="A3" s="40" t="s">
        <v>51</v>
      </c>
      <c r="B3" s="40" t="s">
        <v>1</v>
      </c>
      <c r="C3" s="40" t="s">
        <v>59</v>
      </c>
      <c r="D3" s="40" t="s">
        <v>62</v>
      </c>
      <c r="E3" s="40" t="s">
        <v>64</v>
      </c>
      <c r="F3" s="40" t="s">
        <v>65</v>
      </c>
      <c r="G3" s="43" t="s">
        <v>66</v>
      </c>
      <c r="H3" s="43" t="s">
        <v>67</v>
      </c>
      <c r="I3" s="40" t="s">
        <v>68</v>
      </c>
      <c r="J3" s="45" t="s">
        <v>69</v>
      </c>
      <c r="K3" s="40" t="s">
        <v>70</v>
      </c>
      <c r="L3" s="40" t="s">
        <v>71</v>
      </c>
      <c r="M3" s="40" t="s">
        <v>72</v>
      </c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ht="15.75" hidden="1" customHeight="1" outlineLevel="1">
      <c r="A4" s="51" t="str">
        <f>BASE!A13</f>
        <v>Rafael</v>
      </c>
      <c r="B4" s="53" t="str">
        <f>VLOOKUP(TRIM(A4), BASE!A:B, 3, 0)</f>
        <v>#REF!</v>
      </c>
      <c r="C4" s="51" t="str">
        <f>#REF!</f>
        <v>#REF!</v>
      </c>
      <c r="D4" s="56">
        <f>META!F10</f>
        <v>394</v>
      </c>
      <c r="E4" s="51">
        <v>0.0</v>
      </c>
      <c r="F4" s="51"/>
      <c r="G4" s="59"/>
      <c r="H4" s="59"/>
      <c r="I4" s="60"/>
      <c r="J4" s="59"/>
      <c r="K4" s="51"/>
      <c r="L4" s="63"/>
      <c r="M4" s="63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</row>
    <row r="5" ht="15.75" hidden="1" customHeight="1" outlineLevel="1">
      <c r="A5" s="51" t="str">
        <f>BASE!A3</f>
        <v>Camila</v>
      </c>
      <c r="B5" s="53" t="str">
        <f>VLOOKUP(TRIM(A5), BASE!A:B, 3, 0)</f>
        <v>#REF!</v>
      </c>
      <c r="C5" s="51" t="str">
        <f>BASE!C3</f>
        <v>Acumulada</v>
      </c>
      <c r="D5" s="56">
        <f>META!F10</f>
        <v>394</v>
      </c>
      <c r="E5" s="59">
        <f t="shared" ref="E5:E8" si="1">I5*J4</f>
        <v>0</v>
      </c>
      <c r="F5" s="51">
        <v>0.0</v>
      </c>
      <c r="G5" s="59">
        <v>0.0</v>
      </c>
      <c r="H5" s="59">
        <f t="shared" ref="H5:H12" si="2">D5+E5+F5+G5</f>
        <v>394</v>
      </c>
      <c r="I5" s="60">
        <v>7.0</v>
      </c>
      <c r="J5" s="59">
        <v>10.0</v>
      </c>
      <c r="K5" s="51"/>
      <c r="L5" s="63"/>
      <c r="M5" s="63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</row>
    <row r="6" ht="15.75" hidden="1" customHeight="1" outlineLevel="1">
      <c r="A6" s="51" t="str">
        <f>BASE!A4</f>
        <v>Larissa</v>
      </c>
      <c r="B6" s="53" t="str">
        <f>VLOOKUP(TRIM(A6), BASE!A:B, 3, 0)</f>
        <v>#REF!</v>
      </c>
      <c r="C6" s="51" t="str">
        <f>BASE!C4</f>
        <v>Acumulada</v>
      </c>
      <c r="D6" s="56">
        <f>META!F10</f>
        <v>394</v>
      </c>
      <c r="E6" s="59">
        <f t="shared" si="1"/>
        <v>0</v>
      </c>
      <c r="F6" s="51">
        <f t="shared" ref="F6:F7" si="3">M6*K6</f>
        <v>12</v>
      </c>
      <c r="G6" s="59">
        <v>0.0</v>
      </c>
      <c r="H6" s="59">
        <f t="shared" si="2"/>
        <v>406</v>
      </c>
      <c r="I6" s="60"/>
      <c r="J6" s="59"/>
      <c r="K6" s="51">
        <v>0.5</v>
      </c>
      <c r="L6" s="63">
        <v>129.0</v>
      </c>
      <c r="M6" s="63">
        <v>24.0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ht="15.75" hidden="1" customHeight="1" outlineLevel="1">
      <c r="A7" s="51" t="str">
        <f>BASE!A5</f>
        <v>Vera</v>
      </c>
      <c r="B7" s="53" t="str">
        <f>VLOOKUP(TRIM(A7), BASE!A:B, 3, 0)</f>
        <v>#REF!</v>
      </c>
      <c r="C7" s="51" t="str">
        <f>BASE!C5</f>
        <v>Acumulada</v>
      </c>
      <c r="D7" s="56">
        <f>META!F10</f>
        <v>394</v>
      </c>
      <c r="E7" s="59">
        <f t="shared" si="1"/>
        <v>0</v>
      </c>
      <c r="F7" s="51">
        <f t="shared" si="3"/>
        <v>383.4</v>
      </c>
      <c r="G7" s="59">
        <v>0.0</v>
      </c>
      <c r="H7" s="59">
        <f t="shared" si="2"/>
        <v>777.4</v>
      </c>
      <c r="I7" s="60"/>
      <c r="J7" s="59"/>
      <c r="K7" s="51">
        <v>0.3</v>
      </c>
      <c r="L7" s="63">
        <v>2824.0</v>
      </c>
      <c r="M7" s="63">
        <v>1278.0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ht="15.75" hidden="1" customHeight="1" outlineLevel="1">
      <c r="A8" s="51" t="str">
        <f>BASE!A6</f>
        <v>Simone</v>
      </c>
      <c r="B8" s="53" t="str">
        <f>VLOOKUP(TRIM(A8), BASE!A:B, 3, 0)</f>
        <v>#REF!</v>
      </c>
      <c r="C8" s="51" t="str">
        <f>BASE!C6</f>
        <v>Acumulada</v>
      </c>
      <c r="D8" s="56">
        <f>META!F10</f>
        <v>394</v>
      </c>
      <c r="E8" s="59">
        <f t="shared" si="1"/>
        <v>0</v>
      </c>
      <c r="F8" s="51"/>
      <c r="G8" s="59"/>
      <c r="H8" s="59">
        <f t="shared" si="2"/>
        <v>394</v>
      </c>
      <c r="I8" s="60"/>
      <c r="J8" s="59"/>
      <c r="K8" s="51"/>
      <c r="L8" s="63"/>
      <c r="M8" s="63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ht="15.75" hidden="1" customHeight="1" outlineLevel="1">
      <c r="A9" s="51" t="str">
        <f>BASE!A7</f>
        <v>Bianca</v>
      </c>
      <c r="B9" s="53" t="str">
        <f>VLOOKUP(TRIM(A9), BASE!A:B, 3, 0)</f>
        <v>#REF!</v>
      </c>
      <c r="C9" s="51" t="str">
        <f>BASE!C7</f>
        <v>Loja</v>
      </c>
      <c r="D9" s="56">
        <f>META!F7</f>
        <v>117</v>
      </c>
      <c r="E9" s="59">
        <f t="shared" ref="E9:E12" si="4">I9*J9</f>
        <v>10</v>
      </c>
      <c r="F9" s="51"/>
      <c r="G9" s="59">
        <v>0.0</v>
      </c>
      <c r="H9" s="59">
        <f t="shared" si="2"/>
        <v>127</v>
      </c>
      <c r="I9" s="60">
        <v>1.0</v>
      </c>
      <c r="J9" s="59">
        <v>10.0</v>
      </c>
      <c r="K9" s="51"/>
      <c r="L9" s="63"/>
      <c r="M9" s="63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ht="15.75" hidden="1" customHeight="1" outlineLevel="1">
      <c r="A10" s="51" t="str">
        <f>BASE!A8</f>
        <v>Fernanda</v>
      </c>
      <c r="B10" s="53" t="str">
        <f>VLOOKUP(TRIM(A10), BASE!A:B, 3, 0)</f>
        <v>#REF!</v>
      </c>
      <c r="C10" s="51" t="str">
        <f>BASE!C8</f>
        <v>Loja</v>
      </c>
      <c r="D10" s="56">
        <f>META!F7</f>
        <v>117</v>
      </c>
      <c r="E10" s="59">
        <f t="shared" si="4"/>
        <v>30</v>
      </c>
      <c r="F10" s="51"/>
      <c r="G10" s="59"/>
      <c r="H10" s="59">
        <f t="shared" si="2"/>
        <v>147</v>
      </c>
      <c r="I10" s="60">
        <v>3.0</v>
      </c>
      <c r="J10" s="59">
        <v>10.0</v>
      </c>
      <c r="K10" s="51"/>
      <c r="L10" s="63"/>
      <c r="M10" s="63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ht="15.75" hidden="1" customHeight="1" outlineLevel="1">
      <c r="A11" s="51" t="str">
        <f>BASE!A9</f>
        <v>Beatriz</v>
      </c>
      <c r="B11" s="53" t="str">
        <f>VLOOKUP(TRIM(A11), BASE!A:B, 3, 0)</f>
        <v>#REF!</v>
      </c>
      <c r="C11" s="51" t="str">
        <f>BASE!C9</f>
        <v>Loja</v>
      </c>
      <c r="D11" s="56">
        <f>META!F8</f>
        <v>78</v>
      </c>
      <c r="E11" s="59">
        <f t="shared" si="4"/>
        <v>20</v>
      </c>
      <c r="F11" s="51"/>
      <c r="G11" s="59">
        <v>0.0</v>
      </c>
      <c r="H11" s="59">
        <f t="shared" si="2"/>
        <v>98</v>
      </c>
      <c r="I11" s="60">
        <v>2.0</v>
      </c>
      <c r="J11" s="59">
        <v>10.0</v>
      </c>
      <c r="K11" s="51"/>
      <c r="L11" s="63"/>
      <c r="M11" s="63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</row>
    <row r="12" ht="15.75" hidden="1" customHeight="1" outlineLevel="1">
      <c r="A12" s="51" t="str">
        <f>BASE!A10</f>
        <v>Carolina</v>
      </c>
      <c r="B12" s="53" t="str">
        <f>VLOOKUP(TRIM(A12), BASE!A:B, 3, 0)</f>
        <v>#REF!</v>
      </c>
      <c r="C12" s="51" t="str">
        <f>BASE!C10</f>
        <v>Loja</v>
      </c>
      <c r="D12" s="56">
        <f>META!F8</f>
        <v>78</v>
      </c>
      <c r="E12" s="59">
        <f t="shared" si="4"/>
        <v>0</v>
      </c>
      <c r="F12" s="51"/>
      <c r="G12" s="59">
        <v>0.0</v>
      </c>
      <c r="H12" s="59">
        <f t="shared" si="2"/>
        <v>78</v>
      </c>
      <c r="I12" s="60">
        <v>0.0</v>
      </c>
      <c r="J12" s="59">
        <v>10.0</v>
      </c>
      <c r="K12" s="51"/>
      <c r="L12" s="63"/>
      <c r="M12" s="63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ht="15.75" customHeight="1">
      <c r="A13" s="29"/>
      <c r="B13" s="31"/>
      <c r="C13" s="31"/>
      <c r="D13" s="31"/>
      <c r="E13" s="31"/>
      <c r="F13" s="31"/>
      <c r="G13" s="33"/>
      <c r="H13" s="33"/>
      <c r="I13" s="34"/>
      <c r="J13" s="35"/>
      <c r="K13" s="28"/>
      <c r="L13" s="34"/>
      <c r="M13" s="34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ht="15.75" customHeight="1" collapsed="1">
      <c r="A14" s="20" t="s">
        <v>91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6"/>
    </row>
    <row r="15" ht="15.75" hidden="1" customHeight="1" outlineLevel="1">
      <c r="A15" s="31"/>
      <c r="B15" s="31"/>
      <c r="C15" s="31"/>
      <c r="D15" s="31"/>
      <c r="E15" s="31"/>
      <c r="F15" s="31"/>
      <c r="G15" s="33"/>
      <c r="H15" s="33"/>
      <c r="I15" s="97"/>
      <c r="J15" s="67"/>
      <c r="K15" s="7"/>
      <c r="L15" s="97"/>
      <c r="M15" s="97"/>
    </row>
    <row r="16" ht="15.75" hidden="1" customHeight="1" outlineLevel="1">
      <c r="A16" s="40" t="s">
        <v>51</v>
      </c>
      <c r="B16" s="40" t="s">
        <v>1</v>
      </c>
      <c r="C16" s="40" t="s">
        <v>59</v>
      </c>
      <c r="D16" s="40" t="s">
        <v>62</v>
      </c>
      <c r="E16" s="40" t="s">
        <v>64</v>
      </c>
      <c r="F16" s="40" t="s">
        <v>65</v>
      </c>
      <c r="G16" s="43" t="s">
        <v>66</v>
      </c>
      <c r="H16" s="43" t="s">
        <v>67</v>
      </c>
      <c r="I16" s="40" t="s">
        <v>68</v>
      </c>
      <c r="J16" s="45" t="s">
        <v>69</v>
      </c>
      <c r="K16" s="40" t="s">
        <v>70</v>
      </c>
      <c r="L16" s="40" t="s">
        <v>71</v>
      </c>
      <c r="M16" s="40" t="s">
        <v>72</v>
      </c>
    </row>
    <row r="17" ht="15.75" hidden="1" customHeight="1" outlineLevel="1">
      <c r="A17" s="51" t="str">
        <f>BASE!A13</f>
        <v>Rafael</v>
      </c>
      <c r="B17" s="51" t="str">
        <f>VLOOKUP(TRIM(A4), BASE!A:B, 3, 0)</f>
        <v>#REF!</v>
      </c>
      <c r="C17" s="51" t="str">
        <f>BASE!C3</f>
        <v>Acumulada</v>
      </c>
      <c r="D17" s="51"/>
      <c r="E17" s="51">
        <v>0.0</v>
      </c>
      <c r="F17" s="51"/>
      <c r="G17" s="59"/>
      <c r="H17" s="59"/>
      <c r="I17" s="60"/>
      <c r="J17" s="59">
        <v>10.0</v>
      </c>
      <c r="K17" s="51"/>
      <c r="L17" s="63"/>
      <c r="M17" s="63"/>
    </row>
    <row r="18" ht="15.75" hidden="1" customHeight="1" outlineLevel="1">
      <c r="A18" s="51" t="str">
        <f>BASE!A3</f>
        <v>Camila</v>
      </c>
      <c r="B18" s="51" t="str">
        <f>VLOOKUP(TRIM(A5), BASE!A:B, 3, 0)</f>
        <v>#REF!</v>
      </c>
      <c r="C18" s="51" t="str">
        <f>BASE!C4</f>
        <v>Acumulada</v>
      </c>
      <c r="D18" s="59">
        <f>META!F20</f>
        <v>302</v>
      </c>
      <c r="E18" s="59">
        <f t="shared" ref="E18:E21" si="5">I18*J17</f>
        <v>10</v>
      </c>
      <c r="F18" s="51">
        <v>0.0</v>
      </c>
      <c r="G18" s="59">
        <v>300.0</v>
      </c>
      <c r="H18" s="59">
        <f t="shared" ref="H18:H25" si="6">D18+E18+F18+G18</f>
        <v>612</v>
      </c>
      <c r="I18" s="60">
        <v>1.0</v>
      </c>
      <c r="J18" s="59">
        <v>10.0</v>
      </c>
      <c r="K18" s="51"/>
      <c r="L18" s="63"/>
      <c r="M18" s="63"/>
    </row>
    <row r="19" ht="15.75" hidden="1" customHeight="1" outlineLevel="1">
      <c r="A19" s="51" t="str">
        <f>BASE!A4</f>
        <v>Larissa</v>
      </c>
      <c r="B19" s="51" t="str">
        <f>VLOOKUP(TRIM(A6), BASE!A:B, 3, 0)</f>
        <v>#REF!</v>
      </c>
      <c r="C19" s="51" t="str">
        <f>BASE!C5</f>
        <v>Acumulada</v>
      </c>
      <c r="D19" s="59">
        <f>META!F20</f>
        <v>302</v>
      </c>
      <c r="E19" s="59">
        <f t="shared" si="5"/>
        <v>0</v>
      </c>
      <c r="F19" s="51">
        <f t="shared" ref="F19:F20" si="7">M19*K19</f>
        <v>95.5</v>
      </c>
      <c r="G19" s="59">
        <v>300.0</v>
      </c>
      <c r="H19" s="59">
        <f t="shared" si="6"/>
        <v>697.5</v>
      </c>
      <c r="I19" s="60"/>
      <c r="J19" s="59"/>
      <c r="K19" s="51">
        <v>0.5</v>
      </c>
      <c r="L19" s="63">
        <v>1245.0</v>
      </c>
      <c r="M19" s="63">
        <v>191.0</v>
      </c>
    </row>
    <row r="20" ht="15.75" hidden="1" customHeight="1" outlineLevel="1">
      <c r="A20" s="51" t="str">
        <f>BASE!A5</f>
        <v>Vera</v>
      </c>
      <c r="B20" s="51" t="str">
        <f>VLOOKUP(TRIM(A7), BASE!A:B, 3, 0)</f>
        <v>#REF!</v>
      </c>
      <c r="C20" s="51" t="str">
        <f>BASE!C6</f>
        <v>Acumulada</v>
      </c>
      <c r="D20" s="59">
        <f>META!F20</f>
        <v>302</v>
      </c>
      <c r="E20" s="59">
        <f t="shared" si="5"/>
        <v>0</v>
      </c>
      <c r="F20" s="51">
        <f t="shared" si="7"/>
        <v>103.5</v>
      </c>
      <c r="G20" s="59">
        <v>300.0</v>
      </c>
      <c r="H20" s="59">
        <f t="shared" si="6"/>
        <v>705.5</v>
      </c>
      <c r="I20" s="60"/>
      <c r="J20" s="59"/>
      <c r="K20" s="51">
        <v>0.3</v>
      </c>
      <c r="L20" s="63">
        <v>1590.0</v>
      </c>
      <c r="M20" s="63">
        <v>345.0</v>
      </c>
    </row>
    <row r="21" ht="15.75" hidden="1" customHeight="1" outlineLevel="1">
      <c r="A21" s="51" t="str">
        <f>BASE!A6</f>
        <v>Simone</v>
      </c>
      <c r="B21" s="51" t="str">
        <f>VLOOKUP(TRIM(A8), BASE!A:B, 3, 0)</f>
        <v>#REF!</v>
      </c>
      <c r="C21" s="51" t="str">
        <f>BASE!C6</f>
        <v>Acumulada</v>
      </c>
      <c r="D21" s="51">
        <v>0.0</v>
      </c>
      <c r="E21" s="59">
        <f t="shared" si="5"/>
        <v>0</v>
      </c>
      <c r="F21" s="51"/>
      <c r="G21" s="59"/>
      <c r="H21" s="59">
        <f t="shared" si="6"/>
        <v>0</v>
      </c>
      <c r="I21" s="60"/>
      <c r="J21" s="59"/>
      <c r="K21" s="51"/>
      <c r="L21" s="63"/>
      <c r="M21" s="63"/>
    </row>
    <row r="22" ht="15.75" hidden="1" customHeight="1" outlineLevel="1">
      <c r="A22" s="51" t="str">
        <f>BASE!A7</f>
        <v>Bianca</v>
      </c>
      <c r="B22" s="51" t="str">
        <f>VLOOKUP(TRIM(A9), BASE!A:B, 3, 0)</f>
        <v>#REF!</v>
      </c>
      <c r="C22" s="51" t="str">
        <f>BASE!C8</f>
        <v>Loja</v>
      </c>
      <c r="D22" s="59">
        <f>META!F17</f>
        <v>96</v>
      </c>
      <c r="E22" s="59">
        <f t="shared" ref="E22:E25" si="8">I22*J22</f>
        <v>30</v>
      </c>
      <c r="F22" s="51"/>
      <c r="G22" s="59">
        <v>300.0</v>
      </c>
      <c r="H22" s="59">
        <f t="shared" si="6"/>
        <v>426</v>
      </c>
      <c r="I22" s="60">
        <v>3.0</v>
      </c>
      <c r="J22" s="59">
        <v>10.0</v>
      </c>
      <c r="K22" s="51"/>
      <c r="L22" s="63"/>
      <c r="M22" s="63"/>
    </row>
    <row r="23" ht="15.75" hidden="1" customHeight="1" outlineLevel="1">
      <c r="A23" s="51" t="str">
        <f>BASE!A8</f>
        <v>Fernanda</v>
      </c>
      <c r="B23" s="51" t="str">
        <f>VLOOKUP(TRIM(A10), BASE!A:B, 3, 0)</f>
        <v>#REF!</v>
      </c>
      <c r="C23" s="51" t="str">
        <f>BASE!C9</f>
        <v>Loja</v>
      </c>
      <c r="D23" s="59">
        <f>META!F17</f>
        <v>96</v>
      </c>
      <c r="E23" s="59">
        <f t="shared" si="8"/>
        <v>20</v>
      </c>
      <c r="F23" s="51"/>
      <c r="G23" s="59"/>
      <c r="H23" s="59">
        <f t="shared" si="6"/>
        <v>116</v>
      </c>
      <c r="I23" s="60">
        <v>2.0</v>
      </c>
      <c r="J23" s="59">
        <v>10.0</v>
      </c>
      <c r="K23" s="51"/>
      <c r="L23" s="63"/>
      <c r="M23" s="63"/>
    </row>
    <row r="24" ht="15.75" hidden="1" customHeight="1" outlineLevel="1">
      <c r="A24" s="51" t="str">
        <f>BASE!A9</f>
        <v>Beatriz</v>
      </c>
      <c r="B24" s="51" t="str">
        <f>VLOOKUP(TRIM(A11), BASE!A:B, 3, 0)</f>
        <v>#REF!</v>
      </c>
      <c r="C24" s="51" t="str">
        <f>BASE!C10</f>
        <v>Loja</v>
      </c>
      <c r="D24" s="59">
        <f>META!F18</f>
        <v>54</v>
      </c>
      <c r="E24" s="59">
        <f t="shared" si="8"/>
        <v>20</v>
      </c>
      <c r="F24" s="51"/>
      <c r="G24" s="59">
        <v>300.0</v>
      </c>
      <c r="H24" s="59">
        <f t="shared" si="6"/>
        <v>374</v>
      </c>
      <c r="I24" s="60">
        <v>2.0</v>
      </c>
      <c r="J24" s="59">
        <v>10.0</v>
      </c>
      <c r="K24" s="51"/>
      <c r="L24" s="63"/>
      <c r="M24" s="63"/>
    </row>
    <row r="25" ht="15.75" hidden="1" customHeight="1" outlineLevel="1">
      <c r="A25" s="51" t="str">
        <f>BASE!A10</f>
        <v>Carolina</v>
      </c>
      <c r="B25" s="51" t="str">
        <f>VLOOKUP(TRIM(A12), BASE!A:B, 3, 0)</f>
        <v>#REF!</v>
      </c>
      <c r="C25" s="51" t="str">
        <f>BASE!C10</f>
        <v>Loja</v>
      </c>
      <c r="D25" s="59">
        <f>META!F18</f>
        <v>54</v>
      </c>
      <c r="E25" s="59">
        <f t="shared" si="8"/>
        <v>0</v>
      </c>
      <c r="F25" s="51"/>
      <c r="G25" s="59">
        <v>300.0</v>
      </c>
      <c r="H25" s="59">
        <f t="shared" si="6"/>
        <v>354</v>
      </c>
      <c r="I25" s="60">
        <v>0.0</v>
      </c>
      <c r="J25" s="59">
        <v>10.0</v>
      </c>
      <c r="K25" s="51"/>
      <c r="L25" s="63"/>
      <c r="M25" s="63"/>
    </row>
    <row r="26" ht="15.75" customHeight="1">
      <c r="A26" s="7"/>
      <c r="B26" s="7"/>
      <c r="C26" s="7"/>
      <c r="D26" s="7"/>
      <c r="E26" s="7"/>
      <c r="F26" s="7"/>
      <c r="G26" s="67"/>
      <c r="H26" s="67"/>
      <c r="I26" s="97"/>
      <c r="J26" s="67"/>
      <c r="K26" s="7"/>
      <c r="L26" s="97"/>
      <c r="M26" s="97"/>
    </row>
    <row r="27" ht="15.75" customHeight="1" collapsed="1">
      <c r="A27" s="20" t="s">
        <v>98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6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</row>
    <row r="28" ht="15.75" hidden="1" customHeight="1" outlineLevel="1">
      <c r="A28" s="29"/>
      <c r="B28" s="31"/>
      <c r="C28" s="31"/>
      <c r="D28" s="125"/>
      <c r="E28" s="31"/>
      <c r="F28" s="31"/>
      <c r="G28" s="33"/>
      <c r="H28" s="33"/>
      <c r="I28" s="34"/>
      <c r="J28" s="35"/>
      <c r="K28" s="28"/>
      <c r="L28" s="34"/>
      <c r="M28" s="34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ht="15.75" hidden="1" customHeight="1" outlineLevel="1">
      <c r="A29" s="126" t="s">
        <v>51</v>
      </c>
      <c r="B29" s="126" t="s">
        <v>1</v>
      </c>
      <c r="C29" s="126" t="s">
        <v>59</v>
      </c>
      <c r="D29" s="126" t="s">
        <v>62</v>
      </c>
      <c r="E29" s="126" t="s">
        <v>64</v>
      </c>
      <c r="F29" s="126" t="s">
        <v>65</v>
      </c>
      <c r="G29" s="127" t="s">
        <v>66</v>
      </c>
      <c r="H29" s="127" t="s">
        <v>67</v>
      </c>
      <c r="I29" s="126" t="s">
        <v>68</v>
      </c>
      <c r="J29" s="129" t="s">
        <v>69</v>
      </c>
      <c r="K29" s="126" t="s">
        <v>70</v>
      </c>
      <c r="L29" s="126" t="s">
        <v>71</v>
      </c>
      <c r="M29" s="126" t="s">
        <v>72</v>
      </c>
      <c r="N29" s="131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75" hidden="1" customHeight="1" outlineLevel="1">
      <c r="A30" s="132" t="str">
        <f>BASE!A13</f>
        <v>Rafael</v>
      </c>
      <c r="B30" s="132" t="str">
        <f>VLOOKUP(TRIM(A4), BASE!A:B, 3, 0)</f>
        <v>#REF!</v>
      </c>
      <c r="C30" s="132" t="str">
        <f>#REF!</f>
        <v>#REF!</v>
      </c>
      <c r="D30" s="133">
        <f>META!F31</f>
        <v>449</v>
      </c>
      <c r="E30" s="134">
        <f t="shared" ref="E30:E31" si="9">I30*J30</f>
        <v>10</v>
      </c>
      <c r="F30" s="132">
        <v>0.0</v>
      </c>
      <c r="G30" s="134">
        <v>300.0</v>
      </c>
      <c r="H30" s="133">
        <f>G30+D30+E30</f>
        <v>759</v>
      </c>
      <c r="I30" s="135">
        <v>1.0</v>
      </c>
      <c r="J30" s="134">
        <v>10.0</v>
      </c>
      <c r="K30" s="132"/>
      <c r="L30" s="131"/>
      <c r="M30" s="131"/>
      <c r="N30" s="131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ht="15.75" hidden="1" customHeight="1" outlineLevel="1">
      <c r="A31" s="132" t="str">
        <f>BASE!A3</f>
        <v>Camila</v>
      </c>
      <c r="B31" s="132" t="str">
        <f>VLOOKUP(TRIM(A5), BASE!A:B, 3, 0)</f>
        <v>#REF!</v>
      </c>
      <c r="C31" s="132" t="str">
        <f>BASE!C3</f>
        <v>Acumulada</v>
      </c>
      <c r="D31" s="133">
        <f>META!F31</f>
        <v>449</v>
      </c>
      <c r="E31" s="134">
        <f t="shared" si="9"/>
        <v>80</v>
      </c>
      <c r="F31" s="132">
        <v>0.0</v>
      </c>
      <c r="G31" s="134">
        <v>300.0</v>
      </c>
      <c r="H31" s="133">
        <f t="shared" ref="H31:H38" si="10">D31+E31+F31+G31</f>
        <v>829</v>
      </c>
      <c r="I31" s="135">
        <v>8.0</v>
      </c>
      <c r="J31" s="134">
        <v>10.0</v>
      </c>
      <c r="K31" s="132"/>
      <c r="L31" s="131"/>
      <c r="M31" s="131"/>
      <c r="N31" s="131"/>
      <c r="O31" s="28"/>
      <c r="P31" s="28"/>
      <c r="Q31" s="28"/>
      <c r="R31" s="28"/>
      <c r="S31" s="28"/>
      <c r="T31" s="28"/>
      <c r="U31" s="28"/>
      <c r="V31" s="28"/>
      <c r="W31" s="28"/>
      <c r="X31" s="28"/>
    </row>
    <row r="32" ht="15.75" hidden="1" customHeight="1" outlineLevel="1">
      <c r="A32" s="132" t="str">
        <f>BASE!A4</f>
        <v>Larissa</v>
      </c>
      <c r="B32" s="132" t="str">
        <f>VLOOKUP(TRIM(A6), BASE!A:B, 3, 0)</f>
        <v>#REF!</v>
      </c>
      <c r="C32" s="132" t="str">
        <f>BASE!C4</f>
        <v>Acumulada</v>
      </c>
      <c r="D32" s="133">
        <f>META!F31</f>
        <v>449</v>
      </c>
      <c r="E32" s="132">
        <v>0.0</v>
      </c>
      <c r="F32" s="132">
        <f t="shared" ref="F32:F33" si="11">M32*K32</f>
        <v>147.5</v>
      </c>
      <c r="G32" s="134">
        <v>300.0</v>
      </c>
      <c r="H32" s="133">
        <f t="shared" si="10"/>
        <v>896.5</v>
      </c>
      <c r="I32" s="135">
        <v>0.0</v>
      </c>
      <c r="J32" s="134">
        <v>0.0</v>
      </c>
      <c r="K32" s="132">
        <v>0.5</v>
      </c>
      <c r="L32" s="131">
        <v>1834.0</v>
      </c>
      <c r="M32" s="131">
        <v>295.0</v>
      </c>
      <c r="N32" s="131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75" hidden="1" customHeight="1" outlineLevel="1">
      <c r="A33" s="132" t="str">
        <f>BASE!A5</f>
        <v>Vera</v>
      </c>
      <c r="B33" s="132" t="str">
        <f>VLOOKUP(TRIM(A7), BASE!A:B, 3, 0)</f>
        <v>#REF!</v>
      </c>
      <c r="C33" s="132" t="str">
        <f>BASE!C5</f>
        <v>Acumulada</v>
      </c>
      <c r="D33" s="133">
        <f>META!F31</f>
        <v>449</v>
      </c>
      <c r="E33" s="132">
        <v>0.0</v>
      </c>
      <c r="F33" s="132">
        <f t="shared" si="11"/>
        <v>160.8</v>
      </c>
      <c r="G33" s="134">
        <v>300.0</v>
      </c>
      <c r="H33" s="133">
        <f t="shared" si="10"/>
        <v>909.8</v>
      </c>
      <c r="I33" s="135">
        <v>0.0</v>
      </c>
      <c r="J33" s="134">
        <v>0.0</v>
      </c>
      <c r="K33" s="132">
        <v>0.3</v>
      </c>
      <c r="L33" s="131">
        <v>1859.0</v>
      </c>
      <c r="M33" s="131">
        <v>536.0</v>
      </c>
      <c r="N33" s="131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ht="15.75" hidden="1" customHeight="1" outlineLevel="1">
      <c r="A34" s="132" t="str">
        <f>BASE!A6</f>
        <v>Simone</v>
      </c>
      <c r="B34" s="132" t="str">
        <f>VLOOKUP(TRIM(A8), BASE!A:B, 3, 0)</f>
        <v>#REF!</v>
      </c>
      <c r="C34" s="132" t="str">
        <f>BASE!C6</f>
        <v>Acumulada</v>
      </c>
      <c r="D34" s="133">
        <f>META!F31</f>
        <v>449</v>
      </c>
      <c r="E34" s="132">
        <v>0.0</v>
      </c>
      <c r="F34" s="132">
        <v>0.0</v>
      </c>
      <c r="G34" s="134">
        <v>300.0</v>
      </c>
      <c r="H34" s="133">
        <f t="shared" si="10"/>
        <v>749</v>
      </c>
      <c r="I34" s="135">
        <v>0.0</v>
      </c>
      <c r="J34" s="134">
        <v>0.0</v>
      </c>
      <c r="K34" s="132"/>
      <c r="L34" s="131"/>
      <c r="M34" s="131"/>
      <c r="N34" s="131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ht="15.75" hidden="1" customHeight="1" outlineLevel="1">
      <c r="A35" s="132" t="str">
        <f>BASE!A7</f>
        <v>Bianca</v>
      </c>
      <c r="B35" s="132" t="str">
        <f>VLOOKUP(TRIM(A9), BASE!A:B, 3, 0)</f>
        <v>#REF!</v>
      </c>
      <c r="C35" s="132" t="str">
        <f>BASE!C7</f>
        <v>Loja</v>
      </c>
      <c r="D35" s="133">
        <f>META!F28</f>
        <v>124</v>
      </c>
      <c r="E35" s="134">
        <f t="shared" ref="E35:E38" si="12">I35*J35</f>
        <v>10</v>
      </c>
      <c r="F35" s="132">
        <v>0.0</v>
      </c>
      <c r="G35" s="134">
        <v>0.0</v>
      </c>
      <c r="H35" s="133">
        <f t="shared" si="10"/>
        <v>134</v>
      </c>
      <c r="I35" s="135">
        <v>1.0</v>
      </c>
      <c r="J35" s="134">
        <v>10.0</v>
      </c>
      <c r="K35" s="132"/>
      <c r="L35" s="131"/>
      <c r="M35" s="131"/>
      <c r="N35" s="131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ht="15.75" hidden="1" customHeight="1" outlineLevel="1">
      <c r="A36" s="132" t="str">
        <f>BASE!A8</f>
        <v>Fernanda</v>
      </c>
      <c r="B36" s="132" t="str">
        <f>VLOOKUP(TRIM(A10), BASE!A:B, 3, 0)</f>
        <v>#REF!</v>
      </c>
      <c r="C36" s="132" t="str">
        <f>BASE!C8</f>
        <v>Loja</v>
      </c>
      <c r="D36" s="133">
        <f>META!F28</f>
        <v>124</v>
      </c>
      <c r="E36" s="134">
        <f t="shared" si="12"/>
        <v>20</v>
      </c>
      <c r="F36" s="132">
        <v>0.0</v>
      </c>
      <c r="G36" s="134">
        <v>300.0</v>
      </c>
      <c r="H36" s="133">
        <f t="shared" si="10"/>
        <v>444</v>
      </c>
      <c r="I36" s="135">
        <v>2.0</v>
      </c>
      <c r="J36" s="134">
        <v>10.0</v>
      </c>
      <c r="K36" s="132"/>
      <c r="L36" s="131"/>
      <c r="M36" s="131"/>
      <c r="N36" s="131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ht="15.75" hidden="1" customHeight="1" outlineLevel="1">
      <c r="A37" s="132" t="str">
        <f>BASE!A9</f>
        <v>Beatriz</v>
      </c>
      <c r="B37" s="132" t="str">
        <f>VLOOKUP(TRIM(A11), BASE!A:B, 3, 0)</f>
        <v>#REF!</v>
      </c>
      <c r="C37" s="132" t="str">
        <f>BASE!C9</f>
        <v>Loja</v>
      </c>
      <c r="D37" s="133">
        <f>META!F29</f>
        <v>88</v>
      </c>
      <c r="E37" s="134">
        <f t="shared" si="12"/>
        <v>40</v>
      </c>
      <c r="F37" s="132">
        <v>0.0</v>
      </c>
      <c r="G37" s="134">
        <v>300.0</v>
      </c>
      <c r="H37" s="133">
        <f t="shared" si="10"/>
        <v>428</v>
      </c>
      <c r="I37" s="135">
        <v>4.0</v>
      </c>
      <c r="J37" s="134">
        <v>10.0</v>
      </c>
      <c r="K37" s="132"/>
      <c r="L37" s="131"/>
      <c r="M37" s="131"/>
      <c r="N37" s="131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5.75" hidden="1" customHeight="1" outlineLevel="1">
      <c r="A38" s="132" t="str">
        <f>BASE!A10</f>
        <v>Carolina</v>
      </c>
      <c r="B38" s="132" t="str">
        <f>VLOOKUP(TRIM(A12), BASE!A:B, 3, 0)</f>
        <v>#REF!</v>
      </c>
      <c r="C38" s="132" t="str">
        <f>BASE!C10</f>
        <v>Loja</v>
      </c>
      <c r="D38" s="133">
        <f>META!F27</f>
        <v>237</v>
      </c>
      <c r="E38" s="134">
        <f t="shared" si="12"/>
        <v>10</v>
      </c>
      <c r="F38" s="132">
        <v>0.0</v>
      </c>
      <c r="G38" s="134">
        <v>300.0</v>
      </c>
      <c r="H38" s="133">
        <f t="shared" si="10"/>
        <v>547</v>
      </c>
      <c r="I38" s="135">
        <v>1.0</v>
      </c>
      <c r="J38" s="134">
        <v>10.0</v>
      </c>
      <c r="K38" s="132"/>
      <c r="L38" s="131"/>
      <c r="M38" s="131"/>
      <c r="N38" s="131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ht="15.75" hidden="1" customHeight="1" outlineLevel="1">
      <c r="A39" s="142" t="s">
        <v>102</v>
      </c>
      <c r="B39" s="142"/>
      <c r="C39" s="142"/>
      <c r="D39" s="143">
        <f t="shared" ref="D39:I39" si="13">SUM(D30:D38)</f>
        <v>2818</v>
      </c>
      <c r="E39" s="145">
        <f t="shared" si="13"/>
        <v>170</v>
      </c>
      <c r="F39" s="142">
        <f t="shared" si="13"/>
        <v>308.3</v>
      </c>
      <c r="G39" s="145">
        <f t="shared" si="13"/>
        <v>2400</v>
      </c>
      <c r="H39" s="143">
        <f t="shared" si="13"/>
        <v>5696.3</v>
      </c>
      <c r="I39" s="148">
        <f t="shared" si="13"/>
        <v>17</v>
      </c>
      <c r="J39" s="145"/>
      <c r="K39" s="142"/>
      <c r="L39" s="148">
        <f>SUM(L32:L33)</f>
        <v>3693</v>
      </c>
      <c r="M39" s="148">
        <f>SUM(M30:M38)</f>
        <v>831</v>
      </c>
      <c r="N39" s="148">
        <f>SUM(L39:M39)</f>
        <v>4524</v>
      </c>
    </row>
    <row r="40" ht="15.75" hidden="1" customHeight="1" outlineLevel="1">
      <c r="A40" s="7"/>
      <c r="B40" s="7"/>
      <c r="C40" s="7"/>
      <c r="D40" s="7"/>
      <c r="E40" s="7"/>
      <c r="F40" s="7"/>
      <c r="G40" s="67"/>
      <c r="H40" s="67"/>
      <c r="I40" s="97"/>
      <c r="J40" s="67"/>
      <c r="K40" s="7"/>
      <c r="L40" s="97"/>
      <c r="M40" s="97"/>
    </row>
    <row r="41" ht="15.75" customHeight="1">
      <c r="A41" s="7"/>
      <c r="B41" s="7"/>
      <c r="C41" s="7"/>
      <c r="D41" s="7"/>
      <c r="E41" s="7"/>
      <c r="F41" s="7"/>
      <c r="G41" s="67"/>
      <c r="H41" s="67"/>
      <c r="I41" s="97"/>
      <c r="J41" s="67"/>
      <c r="K41" s="7"/>
      <c r="L41" s="97"/>
      <c r="M41" s="97"/>
    </row>
    <row r="42" ht="15.75" customHeight="1" collapsed="1">
      <c r="A42" s="20" t="s">
        <v>103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6"/>
    </row>
    <row r="43" ht="15.75" hidden="1" customHeight="1" outlineLevel="1">
      <c r="A43" s="29"/>
      <c r="B43" s="31"/>
      <c r="C43" s="31"/>
      <c r="D43" s="125"/>
      <c r="E43" s="31"/>
      <c r="F43" s="31"/>
      <c r="G43" s="33"/>
      <c r="H43" s="33"/>
      <c r="I43" s="34"/>
      <c r="J43" s="35"/>
      <c r="K43" s="28"/>
      <c r="L43" s="34"/>
      <c r="M43" s="34"/>
    </row>
    <row r="44" ht="15.75" hidden="1" customHeight="1" outlineLevel="1">
      <c r="A44" s="126" t="s">
        <v>51</v>
      </c>
      <c r="B44" s="126" t="s">
        <v>1</v>
      </c>
      <c r="C44" s="126" t="s">
        <v>59</v>
      </c>
      <c r="D44" s="126" t="s">
        <v>62</v>
      </c>
      <c r="E44" s="126" t="s">
        <v>64</v>
      </c>
      <c r="F44" s="126" t="s">
        <v>65</v>
      </c>
      <c r="G44" s="127" t="s">
        <v>66</v>
      </c>
      <c r="H44" s="127" t="s">
        <v>67</v>
      </c>
      <c r="I44" s="126" t="s">
        <v>68</v>
      </c>
      <c r="J44" s="129" t="s">
        <v>69</v>
      </c>
      <c r="K44" s="126" t="s">
        <v>70</v>
      </c>
      <c r="L44" s="126" t="s">
        <v>71</v>
      </c>
      <c r="M44" s="126" t="s">
        <v>72</v>
      </c>
      <c r="N44" s="150"/>
    </row>
    <row r="45" ht="15.75" hidden="1" customHeight="1" outlineLevel="1">
      <c r="A45" s="132" t="str">
        <f>BASE!A13</f>
        <v>Rafael</v>
      </c>
      <c r="B45" s="132" t="s">
        <v>104</v>
      </c>
      <c r="C45" s="15" t="s">
        <v>21</v>
      </c>
      <c r="D45" s="151">
        <f>META!F42</f>
        <v>338</v>
      </c>
      <c r="E45" s="134">
        <f t="shared" ref="E45:E46" si="14">I45*J45</f>
        <v>0</v>
      </c>
      <c r="F45" s="132">
        <v>0.0</v>
      </c>
      <c r="G45" s="134">
        <v>300.0</v>
      </c>
      <c r="H45" s="133">
        <f>G45+D45+E45</f>
        <v>638</v>
      </c>
      <c r="I45" s="135">
        <v>0.0</v>
      </c>
      <c r="J45" s="134">
        <v>10.0</v>
      </c>
      <c r="K45" s="132"/>
      <c r="L45" s="131"/>
      <c r="M45" s="131"/>
      <c r="N45" s="131"/>
    </row>
    <row r="46" ht="15.75" hidden="1" customHeight="1" outlineLevel="1">
      <c r="A46" s="132" t="str">
        <f>BASE!A3</f>
        <v>Camila</v>
      </c>
      <c r="B46" s="132" t="s">
        <v>104</v>
      </c>
      <c r="C46" s="15" t="s">
        <v>21</v>
      </c>
      <c r="D46" s="151">
        <f>META!F42</f>
        <v>338</v>
      </c>
      <c r="E46" s="134">
        <f t="shared" si="14"/>
        <v>80</v>
      </c>
      <c r="F46" s="132">
        <v>0.0</v>
      </c>
      <c r="G46" s="134">
        <v>300.0</v>
      </c>
      <c r="H46" s="133">
        <f t="shared" ref="H46:H55" si="15">D46+E46+F46+G46</f>
        <v>718</v>
      </c>
      <c r="I46" s="135">
        <v>8.0</v>
      </c>
      <c r="J46" s="134">
        <v>10.0</v>
      </c>
      <c r="K46" s="132"/>
      <c r="L46" s="131"/>
      <c r="M46" s="131"/>
      <c r="N46" s="131"/>
    </row>
    <row r="47" ht="15.75" hidden="1" customHeight="1" outlineLevel="1">
      <c r="A47" s="132" t="str">
        <f>BASE!A4</f>
        <v>Larissa</v>
      </c>
      <c r="B47" s="132" t="s">
        <v>104</v>
      </c>
      <c r="C47" s="15" t="s">
        <v>21</v>
      </c>
      <c r="D47" s="151">
        <f>META!F42</f>
        <v>338</v>
      </c>
      <c r="E47" s="152">
        <v>0.0</v>
      </c>
      <c r="F47" s="134">
        <f t="shared" ref="F47:F48" si="16">M47*K47</f>
        <v>310.5</v>
      </c>
      <c r="G47" s="134">
        <v>300.0</v>
      </c>
      <c r="H47" s="133">
        <f t="shared" si="15"/>
        <v>948.5</v>
      </c>
      <c r="I47" s="135">
        <v>0.0</v>
      </c>
      <c r="J47" s="134">
        <v>0.0</v>
      </c>
      <c r="K47" s="132">
        <v>0.5</v>
      </c>
      <c r="L47" s="131">
        <v>2063.0</v>
      </c>
      <c r="M47" s="131">
        <v>621.0</v>
      </c>
      <c r="N47" s="131"/>
    </row>
    <row r="48" ht="15.75" hidden="1" customHeight="1" outlineLevel="1">
      <c r="A48" s="132" t="str">
        <f>BASE!A5</f>
        <v>Vera</v>
      </c>
      <c r="B48" s="132" t="s">
        <v>104</v>
      </c>
      <c r="C48" s="15" t="s">
        <v>21</v>
      </c>
      <c r="D48" s="151">
        <f>META!F42</f>
        <v>338</v>
      </c>
      <c r="E48" s="132">
        <v>0.0</v>
      </c>
      <c r="F48" s="134">
        <f t="shared" si="16"/>
        <v>103.5</v>
      </c>
      <c r="G48" s="134">
        <v>0.0</v>
      </c>
      <c r="H48" s="133">
        <f t="shared" si="15"/>
        <v>441.5</v>
      </c>
      <c r="I48" s="135">
        <v>0.0</v>
      </c>
      <c r="J48" s="134">
        <v>0.0</v>
      </c>
      <c r="K48" s="132">
        <v>0.3</v>
      </c>
      <c r="L48" s="131">
        <v>1404.0</v>
      </c>
      <c r="M48" s="131">
        <v>345.0</v>
      </c>
      <c r="N48" s="131"/>
    </row>
    <row r="49" ht="15.75" hidden="1" customHeight="1" outlineLevel="1">
      <c r="A49" s="132" t="str">
        <f>BASE!A6</f>
        <v>Simone</v>
      </c>
      <c r="B49" s="132" t="s">
        <v>104</v>
      </c>
      <c r="C49" s="15" t="s">
        <v>21</v>
      </c>
      <c r="D49" s="151">
        <f>META!F42</f>
        <v>338</v>
      </c>
      <c r="E49" s="132">
        <v>0.0</v>
      </c>
      <c r="F49" s="132">
        <v>0.0</v>
      </c>
      <c r="G49" s="134">
        <v>300.0</v>
      </c>
      <c r="H49" s="133">
        <f t="shared" si="15"/>
        <v>638</v>
      </c>
      <c r="I49" s="135">
        <v>0.0</v>
      </c>
      <c r="J49" s="134">
        <v>0.0</v>
      </c>
      <c r="K49" s="132"/>
      <c r="L49" s="131"/>
      <c r="M49" s="131"/>
      <c r="N49" s="131"/>
    </row>
    <row r="50" ht="15.75" hidden="1" customHeight="1" outlineLevel="1">
      <c r="A50" s="132" t="str">
        <f>BASE!A7</f>
        <v>Bianca</v>
      </c>
      <c r="B50" s="132" t="s">
        <v>106</v>
      </c>
      <c r="C50" s="15" t="s">
        <v>107</v>
      </c>
      <c r="D50" s="151">
        <f>META!F39</f>
        <v>124.5</v>
      </c>
      <c r="E50" s="134">
        <f t="shared" ref="E50:E55" si="17">I50*J50</f>
        <v>10</v>
      </c>
      <c r="F50" s="132">
        <v>0.0</v>
      </c>
      <c r="G50" s="134">
        <v>0.0</v>
      </c>
      <c r="H50" s="133">
        <f t="shared" si="15"/>
        <v>134.5</v>
      </c>
      <c r="I50" s="135">
        <v>1.0</v>
      </c>
      <c r="J50" s="134">
        <v>10.0</v>
      </c>
      <c r="K50" s="132"/>
      <c r="L50" s="131"/>
      <c r="M50" s="131"/>
      <c r="N50" s="131"/>
    </row>
    <row r="51" ht="15.75" hidden="1" customHeight="1" outlineLevel="1">
      <c r="A51" s="132" t="str">
        <f>BASE!A8</f>
        <v>Fernanda</v>
      </c>
      <c r="B51" s="132" t="s">
        <v>106</v>
      </c>
      <c r="C51" s="15" t="s">
        <v>107</v>
      </c>
      <c r="D51" s="151">
        <f>META!F39</f>
        <v>124.5</v>
      </c>
      <c r="E51" s="134">
        <f t="shared" si="17"/>
        <v>10</v>
      </c>
      <c r="F51" s="132">
        <v>0.0</v>
      </c>
      <c r="G51" s="134">
        <v>300.0</v>
      </c>
      <c r="H51" s="133">
        <f t="shared" si="15"/>
        <v>434.5</v>
      </c>
      <c r="I51" s="135">
        <v>1.0</v>
      </c>
      <c r="J51" s="134">
        <v>10.0</v>
      </c>
      <c r="K51" s="132"/>
      <c r="L51" s="131"/>
      <c r="M51" s="131"/>
      <c r="N51" s="131"/>
    </row>
    <row r="52" ht="15.75" hidden="1" customHeight="1" outlineLevel="1">
      <c r="A52" s="132" t="str">
        <f>BASE!A9</f>
        <v>Beatriz</v>
      </c>
      <c r="B52" s="132" t="s">
        <v>108</v>
      </c>
      <c r="C52" s="15" t="s">
        <v>107</v>
      </c>
      <c r="D52" s="151">
        <f>META!F40</f>
        <v>56</v>
      </c>
      <c r="E52" s="134">
        <f t="shared" si="17"/>
        <v>10</v>
      </c>
      <c r="F52" s="132">
        <v>0.0</v>
      </c>
      <c r="G52" s="134">
        <v>300.0</v>
      </c>
      <c r="H52" s="133">
        <f t="shared" si="15"/>
        <v>366</v>
      </c>
      <c r="I52" s="135">
        <v>1.0</v>
      </c>
      <c r="J52" s="134">
        <v>10.0</v>
      </c>
      <c r="K52" s="132"/>
      <c r="L52" s="131"/>
      <c r="M52" s="131"/>
      <c r="N52" s="131"/>
    </row>
    <row r="53" ht="15.75" hidden="1" customHeight="1" outlineLevel="1">
      <c r="A53" s="132" t="str">
        <f>BASE!A10</f>
        <v>Carolina</v>
      </c>
      <c r="B53" s="132"/>
      <c r="C53" s="15" t="s">
        <v>107</v>
      </c>
      <c r="D53" s="151">
        <v>0.0</v>
      </c>
      <c r="E53" s="134">
        <f t="shared" si="17"/>
        <v>0</v>
      </c>
      <c r="F53" s="132">
        <v>0.0</v>
      </c>
      <c r="G53" s="134">
        <v>0.0</v>
      </c>
      <c r="H53" s="133">
        <f t="shared" si="15"/>
        <v>0</v>
      </c>
      <c r="I53" s="135">
        <v>0.0</v>
      </c>
      <c r="J53" s="134">
        <v>10.0</v>
      </c>
      <c r="K53" s="132"/>
      <c r="L53" s="131"/>
      <c r="M53" s="131"/>
      <c r="N53" s="131"/>
    </row>
    <row r="54" ht="15.75" hidden="1" customHeight="1" outlineLevel="1">
      <c r="A54" s="15" t="str">
        <f>BASE!A11</f>
        <v>Priscila</v>
      </c>
      <c r="B54" s="132" t="s">
        <v>108</v>
      </c>
      <c r="C54" s="15" t="s">
        <v>107</v>
      </c>
      <c r="D54" s="151">
        <f>META!F40</f>
        <v>56</v>
      </c>
      <c r="E54" s="151">
        <f t="shared" si="17"/>
        <v>10</v>
      </c>
      <c r="F54" s="32"/>
      <c r="G54" s="151">
        <v>200.0</v>
      </c>
      <c r="H54" s="133">
        <f t="shared" si="15"/>
        <v>266</v>
      </c>
      <c r="I54" s="153">
        <v>1.0</v>
      </c>
      <c r="J54" s="134">
        <v>10.0</v>
      </c>
      <c r="K54" s="32"/>
      <c r="L54" s="15"/>
      <c r="M54" s="15"/>
      <c r="N54" s="15"/>
    </row>
    <row r="55" ht="15.75" hidden="1" customHeight="1" outlineLevel="1">
      <c r="A55" s="132" t="str">
        <f>BASE!A2</f>
        <v>Amanda</v>
      </c>
      <c r="B55" s="132" t="s">
        <v>104</v>
      </c>
      <c r="C55" s="15" t="s">
        <v>21</v>
      </c>
      <c r="D55" s="151">
        <f>META!F42</f>
        <v>338</v>
      </c>
      <c r="E55" s="134">
        <f t="shared" si="17"/>
        <v>20</v>
      </c>
      <c r="F55" s="132"/>
      <c r="G55" s="134">
        <v>300.0</v>
      </c>
      <c r="H55" s="133">
        <f t="shared" si="15"/>
        <v>658</v>
      </c>
      <c r="I55" s="135">
        <v>2.0</v>
      </c>
      <c r="J55" s="134">
        <v>10.0</v>
      </c>
      <c r="K55" s="132"/>
      <c r="L55" s="131"/>
      <c r="M55" s="131"/>
      <c r="N55" s="131"/>
    </row>
    <row r="56" ht="15.75" hidden="1" customHeight="1" outlineLevel="1">
      <c r="A56" s="132" t="s">
        <v>109</v>
      </c>
      <c r="B56" s="132"/>
      <c r="C56" s="15"/>
      <c r="D56" s="154">
        <f t="shared" ref="D56:I56" si="18">SUM(D45:D55)</f>
        <v>2389</v>
      </c>
      <c r="E56" s="133">
        <f t="shared" si="18"/>
        <v>140</v>
      </c>
      <c r="F56" s="133">
        <f t="shared" si="18"/>
        <v>414</v>
      </c>
      <c r="G56" s="133">
        <f t="shared" si="18"/>
        <v>2300</v>
      </c>
      <c r="H56" s="133">
        <f t="shared" si="18"/>
        <v>5243</v>
      </c>
      <c r="I56" s="155">
        <f t="shared" si="18"/>
        <v>14</v>
      </c>
      <c r="J56" s="133"/>
      <c r="K56" s="156"/>
      <c r="L56" s="157">
        <f t="shared" ref="L56:M56" si="19">L47+L48</f>
        <v>3467</v>
      </c>
      <c r="M56" s="157">
        <f t="shared" si="19"/>
        <v>966</v>
      </c>
      <c r="N56" s="157"/>
    </row>
    <row r="57" ht="15.75" customHeight="1">
      <c r="A57" s="7"/>
      <c r="B57" s="7"/>
      <c r="C57" s="7"/>
      <c r="D57" s="7"/>
      <c r="E57" s="7"/>
      <c r="F57" s="7"/>
      <c r="G57" s="67"/>
      <c r="H57" s="67"/>
      <c r="I57" s="97"/>
      <c r="J57" s="67"/>
      <c r="K57" s="7"/>
      <c r="L57" s="97"/>
      <c r="M57" s="97"/>
    </row>
    <row r="58" ht="15.75" customHeight="1" collapsed="1">
      <c r="A58" s="20" t="s">
        <v>110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6"/>
    </row>
    <row r="59" ht="15.75" hidden="1" customHeight="1" outlineLevel="1">
      <c r="A59" s="29"/>
      <c r="B59" s="31"/>
      <c r="C59" s="31"/>
      <c r="D59" s="125"/>
      <c r="E59" s="31"/>
      <c r="F59" s="31"/>
      <c r="G59" s="33"/>
      <c r="H59" s="33"/>
      <c r="I59" s="34"/>
      <c r="J59" s="35"/>
      <c r="K59" s="28"/>
      <c r="L59" s="34"/>
      <c r="M59" s="34"/>
    </row>
    <row r="60" ht="45.0" hidden="1" customHeight="1" outlineLevel="1">
      <c r="A60" s="40" t="s">
        <v>51</v>
      </c>
      <c r="B60" s="40" t="s">
        <v>1</v>
      </c>
      <c r="C60" s="40" t="s">
        <v>59</v>
      </c>
      <c r="D60" s="158" t="s">
        <v>62</v>
      </c>
      <c r="E60" s="40" t="s">
        <v>64</v>
      </c>
      <c r="F60" s="40" t="s">
        <v>65</v>
      </c>
      <c r="G60" s="43" t="s">
        <v>66</v>
      </c>
      <c r="H60" s="159" t="s">
        <v>67</v>
      </c>
      <c r="I60" s="40" t="s">
        <v>111</v>
      </c>
      <c r="J60" s="45" t="s">
        <v>112</v>
      </c>
      <c r="K60" s="40" t="s">
        <v>113</v>
      </c>
      <c r="L60" s="40" t="s">
        <v>71</v>
      </c>
      <c r="M60" s="40" t="s">
        <v>72</v>
      </c>
    </row>
    <row r="61" ht="15.75" hidden="1" customHeight="1" outlineLevel="1">
      <c r="A61" s="51" t="str">
        <f>BASE!A13</f>
        <v>Rafael</v>
      </c>
      <c r="B61" s="51" t="s">
        <v>104</v>
      </c>
      <c r="C61" s="51" t="s">
        <v>21</v>
      </c>
      <c r="D61" s="160">
        <f>META!F52</f>
        <v>421</v>
      </c>
      <c r="E61" s="59">
        <f t="shared" ref="E61:E62" si="20">I61*J61</f>
        <v>0</v>
      </c>
      <c r="F61" s="51">
        <v>0.0</v>
      </c>
      <c r="G61" s="59">
        <v>300.0</v>
      </c>
      <c r="H61" s="160">
        <f>G61+D61+E61</f>
        <v>721</v>
      </c>
      <c r="I61" s="60">
        <v>0.0</v>
      </c>
      <c r="J61" s="59">
        <v>10.0</v>
      </c>
      <c r="K61" s="51"/>
      <c r="L61" s="63"/>
      <c r="M61" s="63"/>
    </row>
    <row r="62" ht="15.75" hidden="1" customHeight="1" outlineLevel="1">
      <c r="A62" s="51" t="str">
        <f>BASE!A3</f>
        <v>Camila</v>
      </c>
      <c r="B62" s="51" t="s">
        <v>104</v>
      </c>
      <c r="C62" s="51" t="s">
        <v>21</v>
      </c>
      <c r="D62" s="160">
        <f>META!F52</f>
        <v>421</v>
      </c>
      <c r="E62" s="59">
        <f t="shared" si="20"/>
        <v>70</v>
      </c>
      <c r="F62" s="51">
        <v>0.0</v>
      </c>
      <c r="G62" s="59">
        <v>300.0</v>
      </c>
      <c r="H62" s="160">
        <f>D62+E62+F62+G62</f>
        <v>791</v>
      </c>
      <c r="I62" s="60">
        <v>7.0</v>
      </c>
      <c r="J62" s="59">
        <v>10.0</v>
      </c>
      <c r="K62" s="51"/>
      <c r="L62" s="63"/>
      <c r="M62" s="63"/>
    </row>
    <row r="63" ht="15.75" hidden="1" customHeight="1" outlineLevel="1">
      <c r="A63" s="51" t="str">
        <f>BASE!A4</f>
        <v>Larissa</v>
      </c>
      <c r="B63" s="51" t="s">
        <v>104</v>
      </c>
      <c r="C63" s="51" t="s">
        <v>21</v>
      </c>
      <c r="D63" s="160">
        <v>421.0</v>
      </c>
      <c r="E63" s="51">
        <v>0.0</v>
      </c>
      <c r="F63" s="59">
        <f>LARISSA!D7</f>
        <v>68.5</v>
      </c>
      <c r="G63" s="59">
        <v>300.0</v>
      </c>
      <c r="H63" s="160">
        <f>D63+F63+G63</f>
        <v>789.5</v>
      </c>
      <c r="I63" s="60">
        <v>0.0</v>
      </c>
      <c r="J63" s="59">
        <v>0.0</v>
      </c>
      <c r="K63" s="51">
        <v>0.5</v>
      </c>
      <c r="L63" s="63">
        <f>LARISSA!B7</f>
        <v>1447</v>
      </c>
      <c r="M63" s="63">
        <f>LARISSA!C7</f>
        <v>137</v>
      </c>
    </row>
    <row r="64" ht="15.75" hidden="1" customHeight="1" outlineLevel="1">
      <c r="A64" s="51" t="str">
        <f>BASE!A5</f>
        <v>Vera</v>
      </c>
      <c r="B64" s="51" t="s">
        <v>104</v>
      </c>
      <c r="C64" s="51" t="s">
        <v>21</v>
      </c>
      <c r="D64" s="161">
        <v>421.0</v>
      </c>
      <c r="E64" s="51">
        <v>0.0</v>
      </c>
      <c r="F64" s="59">
        <f>MARINA!D7</f>
        <v>118.2</v>
      </c>
      <c r="G64" s="59">
        <v>300.0</v>
      </c>
      <c r="H64" s="160">
        <f>D63+E64+F64+G64</f>
        <v>839.2</v>
      </c>
      <c r="I64" s="60">
        <v>0.0</v>
      </c>
      <c r="J64" s="59">
        <v>0.0</v>
      </c>
      <c r="K64" s="51">
        <v>0.3</v>
      </c>
      <c r="L64" s="63">
        <f>MARINA!B7</f>
        <v>1870</v>
      </c>
      <c r="M64" s="63">
        <f>MARINA!C7</f>
        <v>394</v>
      </c>
    </row>
    <row r="65" ht="15.75" hidden="1" customHeight="1" outlineLevel="1">
      <c r="A65" s="51" t="str">
        <f>BASE!A6</f>
        <v>Simone</v>
      </c>
      <c r="B65" s="51" t="s">
        <v>104</v>
      </c>
      <c r="C65" s="51" t="s">
        <v>21</v>
      </c>
      <c r="D65" s="160">
        <v>421.0</v>
      </c>
      <c r="E65" s="51">
        <v>0.0</v>
      </c>
      <c r="F65" s="51">
        <v>0.0</v>
      </c>
      <c r="G65" s="59">
        <v>300.0</v>
      </c>
      <c r="H65" s="160">
        <f>D65+E65+F65+G65</f>
        <v>721</v>
      </c>
      <c r="I65" s="60">
        <v>0.0</v>
      </c>
      <c r="J65" s="59">
        <v>0.0</v>
      </c>
      <c r="K65" s="51"/>
      <c r="L65" s="63"/>
      <c r="M65" s="63"/>
    </row>
    <row r="66" ht="15.75" hidden="1" customHeight="1" outlineLevel="1">
      <c r="A66" s="51" t="s">
        <v>17</v>
      </c>
      <c r="B66" s="51" t="s">
        <v>104</v>
      </c>
      <c r="C66" s="51" t="s">
        <v>21</v>
      </c>
      <c r="D66" s="160">
        <v>421.0</v>
      </c>
      <c r="E66" s="59">
        <f t="shared" ref="E66:E71" si="21">I66*J66</f>
        <v>40</v>
      </c>
      <c r="F66" s="51">
        <v>0.0</v>
      </c>
      <c r="G66" s="59">
        <v>300.0</v>
      </c>
      <c r="H66" s="160"/>
      <c r="I66" s="60">
        <v>4.0</v>
      </c>
      <c r="J66" s="162">
        <v>10.0</v>
      </c>
      <c r="K66" s="51"/>
      <c r="L66" s="63"/>
      <c r="M66" s="63"/>
    </row>
    <row r="67" ht="15.75" hidden="1" customHeight="1" outlineLevel="1">
      <c r="A67" s="51" t="str">
        <f>BASE!A8</f>
        <v>Fernanda</v>
      </c>
      <c r="B67" s="51" t="s">
        <v>106</v>
      </c>
      <c r="C67" s="51" t="s">
        <v>1</v>
      </c>
      <c r="D67" s="160">
        <f>META!F49</f>
        <v>136</v>
      </c>
      <c r="E67" s="59">
        <f t="shared" si="21"/>
        <v>50</v>
      </c>
      <c r="F67" s="51">
        <v>0.0</v>
      </c>
      <c r="G67" s="59">
        <v>300.0</v>
      </c>
      <c r="H67" s="160">
        <f t="shared" ref="H67:H68" si="22">D67+E67+F67+G67</f>
        <v>486</v>
      </c>
      <c r="I67" s="60">
        <v>5.0</v>
      </c>
      <c r="J67" s="59">
        <v>10.0</v>
      </c>
      <c r="K67" s="51"/>
      <c r="L67" s="63"/>
      <c r="M67" s="63"/>
    </row>
    <row r="68" ht="15.75" hidden="1" customHeight="1" outlineLevel="1">
      <c r="A68" s="51" t="s">
        <v>40</v>
      </c>
      <c r="B68" s="51"/>
      <c r="C68" s="51" t="s">
        <v>1</v>
      </c>
      <c r="D68" s="160"/>
      <c r="E68" s="59">
        <f t="shared" si="21"/>
        <v>0</v>
      </c>
      <c r="F68" s="51">
        <v>0.0</v>
      </c>
      <c r="G68" s="59"/>
      <c r="H68" s="160">
        <f t="shared" si="22"/>
        <v>0</v>
      </c>
      <c r="I68" s="60">
        <v>0.0</v>
      </c>
      <c r="J68" s="59">
        <v>10.0</v>
      </c>
      <c r="K68" s="51"/>
      <c r="L68" s="63"/>
      <c r="M68" s="63"/>
    </row>
    <row r="69" ht="15.75" hidden="1" customHeight="1" outlineLevel="1">
      <c r="A69" s="51" t="s">
        <v>35</v>
      </c>
      <c r="B69" s="51" t="s">
        <v>106</v>
      </c>
      <c r="C69" s="51" t="s">
        <v>1</v>
      </c>
      <c r="D69" s="160">
        <f>META!F49</f>
        <v>136</v>
      </c>
      <c r="E69" s="59">
        <f t="shared" si="21"/>
        <v>0</v>
      </c>
      <c r="F69" s="51">
        <v>0.0</v>
      </c>
      <c r="G69" s="59">
        <f>G67</f>
        <v>300</v>
      </c>
      <c r="H69" s="160">
        <f>D69+G69</f>
        <v>436</v>
      </c>
      <c r="I69" s="60"/>
      <c r="J69" s="59"/>
      <c r="K69" s="51"/>
      <c r="L69" s="63"/>
      <c r="M69" s="63"/>
    </row>
    <row r="70" ht="15.75" hidden="1" customHeight="1" outlineLevel="1">
      <c r="A70" s="51" t="str">
        <f>BASE!A9</f>
        <v>Beatriz</v>
      </c>
      <c r="B70" s="51" t="s">
        <v>108</v>
      </c>
      <c r="C70" s="51" t="s">
        <v>1</v>
      </c>
      <c r="D70" s="160">
        <f>META!F50</f>
        <v>73</v>
      </c>
      <c r="E70" s="59">
        <f t="shared" si="21"/>
        <v>40</v>
      </c>
      <c r="F70" s="51">
        <v>0.0</v>
      </c>
      <c r="G70" s="59">
        <v>300.0</v>
      </c>
      <c r="H70" s="160">
        <f t="shared" ref="H70:H71" si="23">D70+E70+F70+G70</f>
        <v>413</v>
      </c>
      <c r="I70" s="60">
        <v>4.0</v>
      </c>
      <c r="J70" s="59">
        <v>10.0</v>
      </c>
      <c r="K70" s="51"/>
      <c r="L70" s="63"/>
      <c r="M70" s="63"/>
    </row>
    <row r="71" ht="15.75" hidden="1" customHeight="1" outlineLevel="1">
      <c r="A71" s="51" t="s">
        <v>41</v>
      </c>
      <c r="B71" s="51" t="s">
        <v>108</v>
      </c>
      <c r="C71" s="51" t="s">
        <v>1</v>
      </c>
      <c r="D71" s="160">
        <v>73.0</v>
      </c>
      <c r="E71" s="59">
        <f t="shared" si="21"/>
        <v>20</v>
      </c>
      <c r="F71" s="51">
        <v>0.0</v>
      </c>
      <c r="G71" s="59">
        <v>300.0</v>
      </c>
      <c r="H71" s="160">
        <f t="shared" si="23"/>
        <v>393</v>
      </c>
      <c r="I71" s="60">
        <v>2.0</v>
      </c>
      <c r="J71" s="59">
        <v>10.0</v>
      </c>
      <c r="K71" s="51"/>
      <c r="L71" s="63"/>
      <c r="M71" s="63"/>
    </row>
    <row r="72" ht="15.75" hidden="1" customHeight="1" outlineLevel="1">
      <c r="A72" s="51" t="s">
        <v>109</v>
      </c>
      <c r="B72" s="51"/>
      <c r="C72" s="51"/>
      <c r="D72" s="163"/>
      <c r="E72" s="51"/>
      <c r="F72" s="51"/>
      <c r="G72" s="59"/>
      <c r="H72" s="160"/>
      <c r="I72" s="60">
        <f>SUM(I61:I71)</f>
        <v>22</v>
      </c>
      <c r="J72" s="59"/>
      <c r="K72" s="51"/>
      <c r="L72" s="63"/>
      <c r="M72" s="63"/>
    </row>
    <row r="73" ht="15.75" customHeight="1">
      <c r="A73" s="7"/>
      <c r="B73" s="7"/>
      <c r="C73" s="7"/>
      <c r="D73" s="7"/>
      <c r="E73" s="7"/>
      <c r="F73" s="7"/>
      <c r="G73" s="67"/>
      <c r="H73" s="67"/>
      <c r="I73" s="97"/>
      <c r="J73" s="67"/>
      <c r="K73" s="7"/>
      <c r="L73" s="97"/>
      <c r="M73" s="97"/>
    </row>
    <row r="74" ht="15.75" customHeight="1" collapsed="1">
      <c r="A74" s="20" t="s">
        <v>114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6"/>
    </row>
    <row r="75" ht="15.75" hidden="1" customHeight="1" outlineLevel="1">
      <c r="A75" s="29"/>
      <c r="B75" s="31"/>
      <c r="C75" s="31"/>
      <c r="D75" s="125"/>
      <c r="E75" s="31"/>
      <c r="F75" s="31"/>
      <c r="G75" s="33"/>
      <c r="H75" s="33"/>
      <c r="I75" s="34"/>
      <c r="J75" s="35"/>
      <c r="K75" s="28"/>
      <c r="L75" s="34"/>
      <c r="M75" s="34"/>
    </row>
    <row r="76" ht="15.75" hidden="1" customHeight="1" outlineLevel="1">
      <c r="A76" s="40" t="s">
        <v>51</v>
      </c>
      <c r="B76" s="40" t="s">
        <v>1</v>
      </c>
      <c r="C76" s="40" t="s">
        <v>59</v>
      </c>
      <c r="D76" s="158" t="s">
        <v>62</v>
      </c>
      <c r="E76" s="40" t="s">
        <v>115</v>
      </c>
      <c r="F76" s="40" t="s">
        <v>65</v>
      </c>
      <c r="G76" s="43" t="s">
        <v>66</v>
      </c>
      <c r="H76" s="159" t="s">
        <v>67</v>
      </c>
      <c r="I76" s="40" t="s">
        <v>111</v>
      </c>
      <c r="J76" s="45" t="s">
        <v>112</v>
      </c>
      <c r="K76" s="40" t="s">
        <v>113</v>
      </c>
      <c r="L76" s="40" t="s">
        <v>71</v>
      </c>
      <c r="M76" s="40" t="s">
        <v>72</v>
      </c>
    </row>
    <row r="77" ht="15.75" hidden="1" customHeight="1" outlineLevel="1">
      <c r="A77" s="51" t="str">
        <f>BASE!A13</f>
        <v>Rafael</v>
      </c>
      <c r="B77" s="51" t="s">
        <v>104</v>
      </c>
      <c r="C77" s="51" t="s">
        <v>21</v>
      </c>
      <c r="D77" s="160">
        <f>META!F62</f>
        <v>365</v>
      </c>
      <c r="E77" s="59">
        <f t="shared" ref="E77:E78" si="24">I77*J77</f>
        <v>0</v>
      </c>
      <c r="F77" s="51">
        <v>0.0</v>
      </c>
      <c r="G77" s="59">
        <v>80.0</v>
      </c>
      <c r="H77" s="160">
        <f>G77+D77+E77</f>
        <v>445</v>
      </c>
      <c r="I77" s="60">
        <v>0.0</v>
      </c>
      <c r="J77" s="59">
        <v>10.0</v>
      </c>
      <c r="K77" s="51"/>
      <c r="L77" s="63"/>
      <c r="M77" s="63"/>
    </row>
    <row r="78" ht="15.75" hidden="1" customHeight="1" outlineLevel="1">
      <c r="A78" s="51" t="str">
        <f>BASE!A3</f>
        <v>Camila</v>
      </c>
      <c r="B78" s="51" t="s">
        <v>104</v>
      </c>
      <c r="C78" s="51" t="s">
        <v>21</v>
      </c>
      <c r="D78" s="160">
        <f>META!F62</f>
        <v>365</v>
      </c>
      <c r="E78" s="59">
        <f t="shared" si="24"/>
        <v>30</v>
      </c>
      <c r="F78" s="51">
        <v>0.0</v>
      </c>
      <c r="G78" s="59">
        <v>300.0</v>
      </c>
      <c r="H78" s="160">
        <f>D78+E78+F78+G78</f>
        <v>695</v>
      </c>
      <c r="I78" s="60">
        <v>3.0</v>
      </c>
      <c r="J78" s="59">
        <v>10.0</v>
      </c>
      <c r="K78" s="51"/>
      <c r="L78" s="63"/>
      <c r="M78" s="63"/>
    </row>
    <row r="79" ht="15.75" hidden="1" customHeight="1" outlineLevel="1">
      <c r="A79" s="51" t="str">
        <f>BASE!A4</f>
        <v>Larissa</v>
      </c>
      <c r="B79" s="51" t="s">
        <v>104</v>
      </c>
      <c r="C79" s="51" t="s">
        <v>21</v>
      </c>
      <c r="D79" s="160">
        <f>META!F62</f>
        <v>365</v>
      </c>
      <c r="E79" s="51">
        <v>0.0</v>
      </c>
      <c r="F79" s="51">
        <f t="shared" ref="F79:F80" si="25">K79*M79</f>
        <v>363</v>
      </c>
      <c r="G79" s="59">
        <v>300.0</v>
      </c>
      <c r="H79" s="160">
        <f t="shared" ref="H79:H80" si="26">D79+F79+G79</f>
        <v>1028</v>
      </c>
      <c r="I79" s="60">
        <v>0.0</v>
      </c>
      <c r="J79" s="59">
        <v>0.0</v>
      </c>
      <c r="K79" s="51">
        <v>0.5</v>
      </c>
      <c r="L79" s="63">
        <v>2218.0</v>
      </c>
      <c r="M79" s="63">
        <v>726.0</v>
      </c>
    </row>
    <row r="80" ht="15.75" hidden="1" customHeight="1" outlineLevel="1">
      <c r="A80" s="51" t="s">
        <v>116</v>
      </c>
      <c r="B80" s="51" t="s">
        <v>104</v>
      </c>
      <c r="C80" s="51" t="s">
        <v>21</v>
      </c>
      <c r="D80" s="160">
        <v>0.0</v>
      </c>
      <c r="E80" s="51">
        <v>0.0</v>
      </c>
      <c r="F80" s="51">
        <f t="shared" si="25"/>
        <v>117</v>
      </c>
      <c r="G80" s="59">
        <v>0.0</v>
      </c>
      <c r="H80" s="160">
        <f t="shared" si="26"/>
        <v>117</v>
      </c>
      <c r="I80" s="60">
        <v>0.0</v>
      </c>
      <c r="J80" s="59">
        <v>0.0</v>
      </c>
      <c r="K80" s="51">
        <v>0.3</v>
      </c>
      <c r="L80" s="63">
        <v>1170.0</v>
      </c>
      <c r="M80" s="63">
        <v>390.0</v>
      </c>
    </row>
    <row r="81" ht="15.75" hidden="1" customHeight="1" outlineLevel="1">
      <c r="A81" s="51" t="str">
        <f>BASE!A6</f>
        <v>Simone</v>
      </c>
      <c r="B81" s="51" t="s">
        <v>104</v>
      </c>
      <c r="C81" s="51" t="s">
        <v>21</v>
      </c>
      <c r="D81" s="160">
        <f>META!F62</f>
        <v>365</v>
      </c>
      <c r="E81" s="51">
        <v>0.0</v>
      </c>
      <c r="F81" s="51">
        <v>0.0</v>
      </c>
      <c r="G81" s="59">
        <v>300.0</v>
      </c>
      <c r="H81" s="160">
        <f t="shared" ref="H81:H84" si="27">D81+E81+F81+G81</f>
        <v>665</v>
      </c>
      <c r="I81" s="60">
        <v>0.0</v>
      </c>
      <c r="J81" s="59">
        <v>0.0</v>
      </c>
      <c r="K81" s="51"/>
      <c r="L81" s="63"/>
      <c r="M81" s="63"/>
    </row>
    <row r="82" ht="15.75" hidden="1" customHeight="1" outlineLevel="1">
      <c r="A82" s="51" t="s">
        <v>17</v>
      </c>
      <c r="B82" s="51" t="s">
        <v>104</v>
      </c>
      <c r="C82" s="51" t="s">
        <v>21</v>
      </c>
      <c r="D82" s="160">
        <f>META!F62</f>
        <v>365</v>
      </c>
      <c r="E82" s="59">
        <f t="shared" ref="E82:E87" si="28">I82*J82</f>
        <v>70</v>
      </c>
      <c r="F82" s="51">
        <v>0.0</v>
      </c>
      <c r="G82" s="59">
        <v>300.0</v>
      </c>
      <c r="H82" s="160">
        <f t="shared" si="27"/>
        <v>735</v>
      </c>
      <c r="I82" s="60">
        <v>7.0</v>
      </c>
      <c r="J82" s="162">
        <v>10.0</v>
      </c>
      <c r="K82" s="51"/>
      <c r="L82" s="63"/>
      <c r="M82" s="63"/>
    </row>
    <row r="83" ht="15.75" hidden="1" customHeight="1" outlineLevel="1">
      <c r="A83" s="51" t="str">
        <f>BASE!A8</f>
        <v>Fernanda</v>
      </c>
      <c r="B83" s="51" t="s">
        <v>106</v>
      </c>
      <c r="C83" s="51" t="s">
        <v>1</v>
      </c>
      <c r="D83" s="160">
        <f>META!F59</f>
        <v>132</v>
      </c>
      <c r="E83" s="59">
        <f t="shared" si="28"/>
        <v>0</v>
      </c>
      <c r="F83" s="51">
        <v>0.0</v>
      </c>
      <c r="G83" s="59">
        <v>300.0</v>
      </c>
      <c r="H83" s="160">
        <f t="shared" si="27"/>
        <v>432</v>
      </c>
      <c r="I83" s="164">
        <v>0.0</v>
      </c>
      <c r="J83" s="59">
        <v>10.0</v>
      </c>
      <c r="K83" s="51"/>
      <c r="L83" s="63"/>
      <c r="M83" s="63"/>
    </row>
    <row r="84" ht="15.75" hidden="1" customHeight="1" outlineLevel="1">
      <c r="A84" s="51" t="str">
        <f>BASE!A10</f>
        <v>Carolina</v>
      </c>
      <c r="B84" s="51" t="s">
        <v>108</v>
      </c>
      <c r="C84" s="51" t="s">
        <v>1</v>
      </c>
      <c r="D84" s="160">
        <f>META!F60</f>
        <v>68</v>
      </c>
      <c r="E84" s="59">
        <f t="shared" si="28"/>
        <v>30</v>
      </c>
      <c r="F84" s="51">
        <v>0.0</v>
      </c>
      <c r="G84" s="59">
        <v>200.0</v>
      </c>
      <c r="H84" s="160">
        <f t="shared" si="27"/>
        <v>298</v>
      </c>
      <c r="I84" s="60">
        <v>3.0</v>
      </c>
      <c r="J84" s="59">
        <v>10.0</v>
      </c>
      <c r="K84" s="51"/>
      <c r="L84" s="63"/>
      <c r="M84" s="63"/>
    </row>
    <row r="85" ht="15.75" hidden="1" customHeight="1" outlineLevel="1">
      <c r="A85" s="53" t="s">
        <v>35</v>
      </c>
      <c r="B85" s="51" t="s">
        <v>106</v>
      </c>
      <c r="C85" s="51" t="s">
        <v>1</v>
      </c>
      <c r="D85" s="160">
        <f>META!F59</f>
        <v>132</v>
      </c>
      <c r="E85" s="59">
        <f t="shared" si="28"/>
        <v>10</v>
      </c>
      <c r="F85" s="51">
        <v>0.0</v>
      </c>
      <c r="G85" s="59">
        <f>G83</f>
        <v>300</v>
      </c>
      <c r="H85" s="160">
        <f>D85+G85</f>
        <v>432</v>
      </c>
      <c r="I85" s="60">
        <v>1.0</v>
      </c>
      <c r="J85" s="59">
        <v>10.0</v>
      </c>
      <c r="K85" s="51"/>
      <c r="L85" s="63"/>
      <c r="M85" s="63"/>
    </row>
    <row r="86" ht="15.75" hidden="1" customHeight="1" outlineLevel="1">
      <c r="A86" s="51" t="str">
        <f>BASE!A11</f>
        <v>Priscila</v>
      </c>
      <c r="B86" s="51" t="s">
        <v>108</v>
      </c>
      <c r="C86" s="51" t="s">
        <v>1</v>
      </c>
      <c r="D86" s="160">
        <f>META!F60</f>
        <v>68</v>
      </c>
      <c r="E86" s="59">
        <f t="shared" si="28"/>
        <v>0</v>
      </c>
      <c r="F86" s="51">
        <v>0.0</v>
      </c>
      <c r="G86" s="59">
        <v>100.0</v>
      </c>
      <c r="H86" s="160">
        <f t="shared" ref="H86:H87" si="29">D86+E86+F86+G86</f>
        <v>168</v>
      </c>
      <c r="I86" s="60">
        <v>0.0</v>
      </c>
      <c r="J86" s="59">
        <v>10.0</v>
      </c>
      <c r="K86" s="51"/>
      <c r="L86" s="63"/>
      <c r="M86" s="63"/>
    </row>
    <row r="87" ht="15.75" hidden="1" customHeight="1" outlineLevel="1">
      <c r="A87" s="53" t="s">
        <v>39</v>
      </c>
      <c r="B87" s="51" t="s">
        <v>108</v>
      </c>
      <c r="C87" s="51" t="s">
        <v>1</v>
      </c>
      <c r="D87" s="160">
        <f>META!F60</f>
        <v>68</v>
      </c>
      <c r="E87" s="59">
        <f t="shared" si="28"/>
        <v>40</v>
      </c>
      <c r="F87" s="51">
        <v>0.0</v>
      </c>
      <c r="G87" s="59">
        <v>250.0</v>
      </c>
      <c r="H87" s="160">
        <f t="shared" si="29"/>
        <v>358</v>
      </c>
      <c r="I87" s="60">
        <v>4.0</v>
      </c>
      <c r="J87" s="59">
        <v>10.0</v>
      </c>
      <c r="K87" s="51"/>
      <c r="L87" s="63"/>
      <c r="M87" s="63"/>
    </row>
    <row r="88" ht="15.75" hidden="1" customHeight="1" outlineLevel="1">
      <c r="A88" s="51"/>
      <c r="B88" s="51"/>
      <c r="C88" s="51"/>
      <c r="D88" s="163"/>
      <c r="E88" s="51">
        <f>SUM(E76:E87)</f>
        <v>180</v>
      </c>
      <c r="F88" s="51"/>
      <c r="G88" s="59"/>
      <c r="H88" s="160"/>
      <c r="I88" s="60">
        <f>SUM(I77:I87)</f>
        <v>18</v>
      </c>
      <c r="J88" s="59"/>
      <c r="K88" s="51"/>
      <c r="L88" s="63"/>
      <c r="M88" s="63"/>
    </row>
    <row r="89" ht="15.75" customHeight="1">
      <c r="A89" s="7"/>
      <c r="B89" s="7"/>
      <c r="C89" s="7"/>
      <c r="D89" s="7"/>
      <c r="E89" s="7"/>
      <c r="F89" s="7"/>
      <c r="G89" s="67"/>
      <c r="H89" s="67"/>
      <c r="I89" s="97"/>
      <c r="J89" s="67"/>
      <c r="K89" s="7"/>
      <c r="L89" s="97"/>
      <c r="M89" s="97"/>
    </row>
    <row r="90" ht="15.75" customHeight="1">
      <c r="A90" s="20" t="s">
        <v>117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6"/>
    </row>
    <row r="91" ht="15.75" customHeight="1">
      <c r="A91" s="29"/>
      <c r="B91" s="31"/>
      <c r="C91" s="31"/>
      <c r="D91" s="125"/>
      <c r="E91" s="31"/>
      <c r="F91" s="31"/>
      <c r="G91" s="33"/>
      <c r="H91" s="33"/>
      <c r="I91" s="34"/>
      <c r="J91" s="35"/>
      <c r="K91" s="28"/>
      <c r="L91" s="34"/>
      <c r="M91" s="34"/>
    </row>
    <row r="92" ht="15.75" customHeight="1">
      <c r="A92" s="40" t="s">
        <v>51</v>
      </c>
      <c r="B92" s="40" t="s">
        <v>1</v>
      </c>
      <c r="C92" s="40" t="s">
        <v>59</v>
      </c>
      <c r="D92" s="158" t="s">
        <v>62</v>
      </c>
      <c r="E92" s="40" t="s">
        <v>115</v>
      </c>
      <c r="F92" s="40" t="s">
        <v>65</v>
      </c>
      <c r="G92" s="43" t="s">
        <v>66</v>
      </c>
      <c r="H92" s="159" t="s">
        <v>67</v>
      </c>
      <c r="I92" s="40" t="s">
        <v>111</v>
      </c>
      <c r="J92" s="45" t="s">
        <v>112</v>
      </c>
      <c r="K92" s="40" t="s">
        <v>113</v>
      </c>
      <c r="L92" s="40" t="s">
        <v>71</v>
      </c>
      <c r="M92" s="40" t="s">
        <v>72</v>
      </c>
    </row>
    <row r="93" ht="15.75" customHeight="1">
      <c r="A93" s="51" t="str">
        <f>BASE!A13</f>
        <v>Rafael</v>
      </c>
      <c r="B93" s="51" t="s">
        <v>8</v>
      </c>
      <c r="C93" s="51" t="s">
        <v>21</v>
      </c>
      <c r="D93" s="160">
        <v>0.0</v>
      </c>
      <c r="E93" s="59">
        <f t="shared" ref="E93:E94" si="30">I93*J93</f>
        <v>0</v>
      </c>
      <c r="F93" s="51">
        <v>0.0</v>
      </c>
      <c r="G93" s="59">
        <v>0.0</v>
      </c>
      <c r="H93" s="160">
        <f>G93+D93+E930</f>
        <v>0</v>
      </c>
      <c r="I93" s="60">
        <v>0.0</v>
      </c>
      <c r="J93" s="59">
        <v>10.0</v>
      </c>
      <c r="K93" s="51"/>
      <c r="L93" s="63"/>
      <c r="M93" s="63"/>
    </row>
    <row r="94" ht="15.75" customHeight="1">
      <c r="A94" s="51" t="str">
        <f>BASE!A3</f>
        <v>Camila</v>
      </c>
      <c r="B94" s="51" t="s">
        <v>8</v>
      </c>
      <c r="C94" s="51" t="s">
        <v>21</v>
      </c>
      <c r="D94" s="160">
        <v>0.0</v>
      </c>
      <c r="E94" s="59">
        <f t="shared" si="30"/>
        <v>0</v>
      </c>
      <c r="F94" s="51">
        <v>0.0</v>
      </c>
      <c r="G94" s="59">
        <v>0.0</v>
      </c>
      <c r="H94" s="160">
        <f t="shared" ref="H94:H103" si="31">D94+E94+F94+G94</f>
        <v>0</v>
      </c>
      <c r="I94" s="60">
        <v>0.0</v>
      </c>
      <c r="J94" s="59">
        <v>10.0</v>
      </c>
      <c r="K94" s="51"/>
      <c r="L94" s="63"/>
      <c r="M94" s="63"/>
    </row>
    <row r="95" ht="15.75" customHeight="1">
      <c r="A95" s="51" t="str">
        <f>BASE!A4</f>
        <v>Larissa</v>
      </c>
      <c r="B95" s="51" t="s">
        <v>8</v>
      </c>
      <c r="C95" s="51" t="s">
        <v>21</v>
      </c>
      <c r="D95" s="160">
        <f>META!F72</f>
        <v>379</v>
      </c>
      <c r="E95" s="51">
        <v>0.0</v>
      </c>
      <c r="F95" s="51">
        <f t="shared" ref="F95:F96" si="32">K95*M95</f>
        <v>369</v>
      </c>
      <c r="G95" s="59">
        <v>300.0</v>
      </c>
      <c r="H95" s="160">
        <f t="shared" si="31"/>
        <v>1048</v>
      </c>
      <c r="I95" s="60">
        <v>0.0</v>
      </c>
      <c r="J95" s="59">
        <v>10.0</v>
      </c>
      <c r="K95" s="51">
        <v>0.5</v>
      </c>
      <c r="L95" s="63">
        <v>2367.0</v>
      </c>
      <c r="M95" s="63">
        <v>738.0</v>
      </c>
    </row>
    <row r="96" ht="15.75" customHeight="1">
      <c r="A96" s="51" t="s">
        <v>31</v>
      </c>
      <c r="B96" s="51" t="s">
        <v>8</v>
      </c>
      <c r="C96" s="51" t="s">
        <v>21</v>
      </c>
      <c r="D96" s="160">
        <v>0.0</v>
      </c>
      <c r="E96" s="51">
        <v>0.0</v>
      </c>
      <c r="F96" s="51">
        <f t="shared" si="32"/>
        <v>1.8</v>
      </c>
      <c r="G96" s="59">
        <v>154.0</v>
      </c>
      <c r="H96" s="160">
        <f t="shared" si="31"/>
        <v>155.8</v>
      </c>
      <c r="I96" s="60">
        <v>0.0</v>
      </c>
      <c r="J96" s="59">
        <v>10.0</v>
      </c>
      <c r="K96" s="51">
        <v>0.3</v>
      </c>
      <c r="L96" s="63">
        <v>510.0</v>
      </c>
      <c r="M96" s="63">
        <v>6.0</v>
      </c>
    </row>
    <row r="97" ht="15.75" customHeight="1">
      <c r="A97" s="53" t="str">
        <f>BASE!A6</f>
        <v>Simone</v>
      </c>
      <c r="B97" s="51" t="s">
        <v>8</v>
      </c>
      <c r="C97" s="51" t="s">
        <v>21</v>
      </c>
      <c r="D97" s="160">
        <v>0.0</v>
      </c>
      <c r="E97" s="51">
        <v>0.0</v>
      </c>
      <c r="F97" s="51">
        <v>0.0</v>
      </c>
      <c r="G97" s="59">
        <v>0.0</v>
      </c>
      <c r="H97" s="160">
        <f t="shared" si="31"/>
        <v>0</v>
      </c>
      <c r="I97" s="60">
        <v>0.0</v>
      </c>
      <c r="J97" s="59">
        <v>10.0</v>
      </c>
      <c r="K97" s="51"/>
      <c r="L97" s="63"/>
      <c r="M97" s="63"/>
    </row>
    <row r="98" ht="15.75" customHeight="1">
      <c r="A98" s="51" t="s">
        <v>17</v>
      </c>
      <c r="B98" s="51" t="s">
        <v>8</v>
      </c>
      <c r="C98" s="51" t="s">
        <v>21</v>
      </c>
      <c r="D98" s="160">
        <f>META!F72</f>
        <v>379</v>
      </c>
      <c r="E98" s="59">
        <f t="shared" ref="E98:E103" si="33">I98*J98</f>
        <v>70</v>
      </c>
      <c r="F98" s="51">
        <v>0.0</v>
      </c>
      <c r="G98" s="59">
        <v>300.0</v>
      </c>
      <c r="H98" s="160">
        <f t="shared" si="31"/>
        <v>749</v>
      </c>
      <c r="I98" s="60">
        <v>7.0</v>
      </c>
      <c r="J98" s="162">
        <v>10.0</v>
      </c>
      <c r="K98" s="51"/>
      <c r="L98" s="63"/>
      <c r="M98" s="63"/>
    </row>
    <row r="99" ht="15.75" customHeight="1">
      <c r="A99" s="51" t="str">
        <f>BASE!A8</f>
        <v>Fernanda</v>
      </c>
      <c r="B99" s="51" t="s">
        <v>42</v>
      </c>
      <c r="C99" s="51" t="s">
        <v>1</v>
      </c>
      <c r="D99" s="160">
        <f>META!F69</f>
        <v>129</v>
      </c>
      <c r="E99" s="59">
        <f t="shared" si="33"/>
        <v>70</v>
      </c>
      <c r="F99" s="51">
        <v>0.0</v>
      </c>
      <c r="G99" s="59">
        <v>300.0</v>
      </c>
      <c r="H99" s="160">
        <f t="shared" si="31"/>
        <v>499</v>
      </c>
      <c r="I99" s="63">
        <v>7.0</v>
      </c>
      <c r="J99" s="59">
        <v>10.0</v>
      </c>
      <c r="K99" s="51"/>
      <c r="L99" s="63"/>
      <c r="M99" s="63"/>
    </row>
    <row r="100" ht="15.75" customHeight="1">
      <c r="A100" s="51" t="str">
        <f>BASE!A10</f>
        <v>Carolina</v>
      </c>
      <c r="B100" s="51" t="s">
        <v>42</v>
      </c>
      <c r="C100" s="51" t="s">
        <v>1</v>
      </c>
      <c r="D100" s="160">
        <f>META!F69</f>
        <v>129</v>
      </c>
      <c r="E100" s="59">
        <f t="shared" si="33"/>
        <v>50</v>
      </c>
      <c r="F100" s="51">
        <v>0.0</v>
      </c>
      <c r="G100" s="59">
        <v>300.0</v>
      </c>
      <c r="H100" s="160">
        <f t="shared" si="31"/>
        <v>479</v>
      </c>
      <c r="I100" s="60">
        <v>5.0</v>
      </c>
      <c r="J100" s="59">
        <v>10.0</v>
      </c>
      <c r="K100" s="51"/>
      <c r="L100" s="63"/>
      <c r="M100" s="63"/>
    </row>
    <row r="101" ht="15.75" customHeight="1">
      <c r="A101" s="53" t="str">
        <f>BASE!A7</f>
        <v>Bianca</v>
      </c>
      <c r="B101" s="53" t="s">
        <v>42</v>
      </c>
      <c r="C101" s="51" t="s">
        <v>1</v>
      </c>
      <c r="D101" s="160">
        <f>META!F69</f>
        <v>129</v>
      </c>
      <c r="E101" s="59">
        <f t="shared" si="33"/>
        <v>30</v>
      </c>
      <c r="F101" s="51">
        <v>0.0</v>
      </c>
      <c r="G101" s="59">
        <f>G99</f>
        <v>300</v>
      </c>
      <c r="H101" s="160">
        <f t="shared" si="31"/>
        <v>459</v>
      </c>
      <c r="I101" s="60">
        <v>3.0</v>
      </c>
      <c r="J101" s="59">
        <v>10.0</v>
      </c>
      <c r="K101" s="51"/>
      <c r="L101" s="63"/>
      <c r="M101" s="63"/>
    </row>
    <row r="102" ht="15.75" customHeight="1">
      <c r="A102" s="51" t="str">
        <f>BASE!A9</f>
        <v>Beatriz</v>
      </c>
      <c r="B102" s="51" t="s">
        <v>73</v>
      </c>
      <c r="C102" s="51" t="s">
        <v>1</v>
      </c>
      <c r="D102" s="160">
        <v>0.0</v>
      </c>
      <c r="E102" s="59">
        <f t="shared" si="33"/>
        <v>10</v>
      </c>
      <c r="F102" s="51">
        <v>0.0</v>
      </c>
      <c r="G102" s="59">
        <v>0.0</v>
      </c>
      <c r="H102" s="160">
        <f t="shared" si="31"/>
        <v>10</v>
      </c>
      <c r="I102" s="60">
        <v>1.0</v>
      </c>
      <c r="J102" s="59">
        <v>10.0</v>
      </c>
      <c r="K102" s="51"/>
      <c r="L102" s="63"/>
      <c r="M102" s="63"/>
    </row>
    <row r="103" ht="15.75" customHeight="1">
      <c r="A103" s="53" t="str">
        <f>BASE!A11</f>
        <v>Priscila</v>
      </c>
      <c r="B103" s="51" t="s">
        <v>73</v>
      </c>
      <c r="C103" s="51" t="s">
        <v>1</v>
      </c>
      <c r="D103" s="160">
        <v>0.0</v>
      </c>
      <c r="E103" s="59">
        <f t="shared" si="33"/>
        <v>0</v>
      </c>
      <c r="F103" s="51">
        <v>0.0</v>
      </c>
      <c r="G103" s="59">
        <v>0.0</v>
      </c>
      <c r="H103" s="160">
        <f t="shared" si="31"/>
        <v>0</v>
      </c>
      <c r="I103" s="60">
        <v>0.0</v>
      </c>
      <c r="J103" s="59">
        <v>10.0</v>
      </c>
      <c r="K103" s="51"/>
      <c r="L103" s="63"/>
      <c r="M103" s="63"/>
    </row>
    <row r="104" ht="15.75" customHeight="1">
      <c r="A104" s="51" t="str">
        <f>BASE!A29</f>
        <v/>
      </c>
      <c r="B104" s="51"/>
      <c r="C104" s="51"/>
      <c r="D104" s="163"/>
      <c r="E104" s="51">
        <f>SUM(E92:E103)</f>
        <v>230</v>
      </c>
      <c r="F104" s="51"/>
      <c r="G104" s="59"/>
      <c r="H104" s="160"/>
      <c r="I104" s="60">
        <v>0.0</v>
      </c>
      <c r="J104" s="59"/>
      <c r="K104" s="51"/>
      <c r="L104" s="63"/>
      <c r="M104" s="63"/>
    </row>
    <row r="105" ht="15.75" customHeight="1">
      <c r="A105" s="7"/>
      <c r="B105" s="7"/>
      <c r="C105" s="7"/>
      <c r="D105" s="7"/>
      <c r="E105" s="7"/>
      <c r="F105" s="7"/>
      <c r="G105" s="67"/>
      <c r="H105" s="67"/>
      <c r="I105" s="97"/>
      <c r="J105" s="67"/>
      <c r="K105" s="7"/>
      <c r="L105" s="97"/>
      <c r="M105" s="97"/>
    </row>
    <row r="106" ht="15.75" customHeight="1">
      <c r="A106" s="7"/>
      <c r="B106" s="7"/>
      <c r="C106" s="7"/>
      <c r="D106" s="7"/>
      <c r="E106" s="7"/>
      <c r="F106" s="7"/>
      <c r="G106" s="67"/>
      <c r="H106" s="67"/>
      <c r="I106" s="97"/>
      <c r="J106" s="67"/>
      <c r="K106" s="7"/>
      <c r="L106" s="97"/>
      <c r="M106" s="97"/>
    </row>
    <row r="107" ht="15.75" customHeight="1">
      <c r="A107" s="7"/>
      <c r="B107" s="7"/>
      <c r="C107" s="7"/>
      <c r="D107" s="7"/>
      <c r="E107" s="7"/>
      <c r="F107" s="7"/>
      <c r="G107" s="67"/>
      <c r="H107" s="67"/>
      <c r="I107" s="97"/>
      <c r="J107" s="67"/>
      <c r="K107" s="7"/>
      <c r="L107" s="97"/>
      <c r="M107" s="97"/>
    </row>
    <row r="108" ht="15.75" customHeight="1">
      <c r="A108" s="7"/>
      <c r="B108" s="7"/>
      <c r="C108" s="7"/>
      <c r="D108" s="7"/>
      <c r="E108" s="7"/>
      <c r="F108" s="7"/>
      <c r="G108" s="67"/>
      <c r="H108" s="67"/>
      <c r="I108" s="97"/>
      <c r="J108" s="67"/>
      <c r="K108" s="7"/>
      <c r="L108" s="97"/>
      <c r="M108" s="97"/>
    </row>
    <row r="109" ht="15.75" customHeight="1">
      <c r="A109" s="7"/>
      <c r="B109" s="7"/>
      <c r="C109" s="7"/>
      <c r="D109" s="7"/>
      <c r="E109" s="7"/>
      <c r="F109" s="7"/>
      <c r="G109" s="67"/>
      <c r="H109" s="67"/>
      <c r="I109" s="97"/>
      <c r="J109" s="67"/>
      <c r="K109" s="7"/>
      <c r="L109" s="97"/>
      <c r="M109" s="97"/>
    </row>
    <row r="110" ht="15.75" customHeight="1">
      <c r="A110" s="7"/>
      <c r="B110" s="7"/>
      <c r="C110" s="7"/>
      <c r="D110" s="7"/>
      <c r="E110" s="7"/>
      <c r="F110" s="7"/>
      <c r="G110" s="67"/>
      <c r="H110" s="67"/>
      <c r="I110" s="97"/>
      <c r="J110" s="67"/>
      <c r="K110" s="7"/>
      <c r="L110" s="97"/>
      <c r="M110" s="97"/>
    </row>
    <row r="111" ht="15.75" customHeight="1">
      <c r="A111" s="7"/>
      <c r="B111" s="7"/>
      <c r="C111" s="7"/>
      <c r="D111" s="7"/>
      <c r="E111" s="7"/>
      <c r="F111" s="7"/>
      <c r="G111" s="67"/>
      <c r="H111" s="67"/>
      <c r="I111" s="97"/>
      <c r="J111" s="67"/>
      <c r="K111" s="7"/>
      <c r="L111" s="97"/>
      <c r="M111" s="97"/>
    </row>
    <row r="112" ht="15.75" customHeight="1">
      <c r="A112" s="7"/>
      <c r="B112" s="7"/>
      <c r="C112" s="7"/>
      <c r="D112" s="7"/>
      <c r="E112" s="7"/>
      <c r="F112" s="7"/>
      <c r="G112" s="67"/>
      <c r="H112" s="67"/>
      <c r="I112" s="97"/>
      <c r="J112" s="67"/>
      <c r="K112" s="7"/>
      <c r="L112" s="97"/>
      <c r="M112" s="97"/>
    </row>
    <row r="113" ht="15.75" customHeight="1">
      <c r="A113" s="7"/>
      <c r="B113" s="7"/>
      <c r="C113" s="7"/>
      <c r="D113" s="7"/>
      <c r="E113" s="7"/>
      <c r="F113" s="7"/>
      <c r="G113" s="67"/>
      <c r="H113" s="67"/>
      <c r="I113" s="97"/>
      <c r="J113" s="67"/>
      <c r="K113" s="7"/>
      <c r="L113" s="97"/>
      <c r="M113" s="97"/>
    </row>
    <row r="114" ht="15.75" customHeight="1">
      <c r="A114" s="7"/>
      <c r="B114" s="7"/>
      <c r="C114" s="7"/>
      <c r="D114" s="7"/>
      <c r="E114" s="7"/>
      <c r="F114" s="7"/>
      <c r="G114" s="67"/>
      <c r="H114" s="67"/>
      <c r="I114" s="97"/>
      <c r="J114" s="67"/>
      <c r="K114" s="7"/>
      <c r="L114" s="97"/>
      <c r="M114" s="97"/>
    </row>
    <row r="115" ht="15.75" customHeight="1">
      <c r="A115" s="7"/>
      <c r="B115" s="7"/>
      <c r="C115" s="7"/>
      <c r="D115" s="7"/>
      <c r="E115" s="7"/>
      <c r="F115" s="7"/>
      <c r="G115" s="67"/>
      <c r="H115" s="67"/>
      <c r="I115" s="97"/>
      <c r="J115" s="67"/>
      <c r="K115" s="7"/>
      <c r="L115" s="97"/>
      <c r="M115" s="97"/>
    </row>
    <row r="116" ht="15.75" customHeight="1">
      <c r="A116" s="7"/>
      <c r="B116" s="7"/>
      <c r="C116" s="7"/>
      <c r="D116" s="7"/>
      <c r="E116" s="7"/>
      <c r="F116" s="7"/>
      <c r="G116" s="67"/>
      <c r="H116" s="67"/>
      <c r="I116" s="97"/>
      <c r="J116" s="67"/>
      <c r="K116" s="7"/>
      <c r="L116" s="97"/>
      <c r="M116" s="97"/>
    </row>
    <row r="117" ht="15.75" customHeight="1">
      <c r="A117" s="7"/>
      <c r="B117" s="7"/>
      <c r="C117" s="7"/>
      <c r="D117" s="7"/>
      <c r="E117" s="7"/>
      <c r="F117" s="7"/>
      <c r="G117" s="67"/>
      <c r="H117" s="67"/>
      <c r="I117" s="97"/>
      <c r="J117" s="67"/>
      <c r="K117" s="7"/>
      <c r="L117" s="97"/>
      <c r="M117" s="97"/>
    </row>
    <row r="118" ht="15.75" customHeight="1">
      <c r="A118" s="7"/>
      <c r="B118" s="7"/>
      <c r="C118" s="7"/>
      <c r="D118" s="7"/>
      <c r="E118" s="7"/>
      <c r="F118" s="7"/>
      <c r="G118" s="67"/>
      <c r="H118" s="67"/>
      <c r="I118" s="97"/>
      <c r="J118" s="67"/>
      <c r="K118" s="7"/>
      <c r="L118" s="97"/>
      <c r="M118" s="97"/>
    </row>
    <row r="119" ht="15.75" customHeight="1">
      <c r="A119" s="7"/>
      <c r="B119" s="7"/>
      <c r="C119" s="7"/>
      <c r="D119" s="7"/>
      <c r="E119" s="7"/>
      <c r="F119" s="7"/>
      <c r="G119" s="67"/>
      <c r="H119" s="67"/>
      <c r="I119" s="97"/>
      <c r="J119" s="67"/>
      <c r="K119" s="7"/>
      <c r="L119" s="97"/>
      <c r="M119" s="97"/>
    </row>
    <row r="120" ht="15.75" customHeight="1">
      <c r="A120" s="7"/>
      <c r="B120" s="7"/>
      <c r="C120" s="7"/>
      <c r="D120" s="7"/>
      <c r="E120" s="7"/>
      <c r="F120" s="7"/>
      <c r="G120" s="67"/>
      <c r="H120" s="67"/>
      <c r="I120" s="97"/>
      <c r="J120" s="67"/>
      <c r="K120" s="7"/>
      <c r="L120" s="97"/>
      <c r="M120" s="97"/>
    </row>
    <row r="121" ht="15.75" customHeight="1">
      <c r="A121" s="7"/>
      <c r="B121" s="7"/>
      <c r="C121" s="7"/>
      <c r="D121" s="7"/>
      <c r="E121" s="7"/>
      <c r="F121" s="7"/>
      <c r="G121" s="67"/>
      <c r="H121" s="67"/>
      <c r="I121" s="97"/>
      <c r="J121" s="67"/>
      <c r="K121" s="7"/>
      <c r="L121" s="97"/>
      <c r="M121" s="97"/>
    </row>
    <row r="122" ht="15.75" customHeight="1">
      <c r="A122" s="7"/>
      <c r="B122" s="7"/>
      <c r="C122" s="7"/>
      <c r="D122" s="7"/>
      <c r="E122" s="7"/>
      <c r="F122" s="7"/>
      <c r="G122" s="67"/>
      <c r="H122" s="67"/>
      <c r="I122" s="97"/>
      <c r="J122" s="67"/>
      <c r="K122" s="7"/>
      <c r="L122" s="97"/>
      <c r="M122" s="97"/>
    </row>
    <row r="123" ht="15.75" customHeight="1">
      <c r="A123" s="7"/>
      <c r="B123" s="7"/>
      <c r="C123" s="7"/>
      <c r="D123" s="7"/>
      <c r="E123" s="7"/>
      <c r="F123" s="7"/>
      <c r="G123" s="67"/>
      <c r="H123" s="67"/>
      <c r="I123" s="97"/>
      <c r="J123" s="67"/>
      <c r="K123" s="7"/>
      <c r="L123" s="97"/>
      <c r="M123" s="97"/>
    </row>
    <row r="124" ht="15.75" customHeight="1">
      <c r="A124" s="7"/>
      <c r="B124" s="7"/>
      <c r="C124" s="7"/>
      <c r="D124" s="7"/>
      <c r="E124" s="7"/>
      <c r="F124" s="7"/>
      <c r="G124" s="67"/>
      <c r="H124" s="67"/>
      <c r="I124" s="97"/>
      <c r="J124" s="67"/>
      <c r="K124" s="7"/>
      <c r="L124" s="97"/>
      <c r="M124" s="97"/>
    </row>
    <row r="125" ht="15.75" customHeight="1">
      <c r="A125" s="7"/>
      <c r="B125" s="7"/>
      <c r="C125" s="7"/>
      <c r="D125" s="7"/>
      <c r="E125" s="7"/>
      <c r="F125" s="7"/>
      <c r="G125" s="67"/>
      <c r="H125" s="67"/>
      <c r="I125" s="97"/>
      <c r="J125" s="67"/>
      <c r="K125" s="7"/>
      <c r="L125" s="97"/>
      <c r="M125" s="97"/>
    </row>
    <row r="126" ht="15.75" customHeight="1">
      <c r="A126" s="7"/>
      <c r="B126" s="7"/>
      <c r="C126" s="7"/>
      <c r="D126" s="7"/>
      <c r="E126" s="7"/>
      <c r="F126" s="7"/>
      <c r="G126" s="67"/>
      <c r="H126" s="67"/>
      <c r="I126" s="97"/>
      <c r="J126" s="67"/>
      <c r="K126" s="7"/>
      <c r="L126" s="97"/>
      <c r="M126" s="97"/>
    </row>
    <row r="127" ht="15.75" customHeight="1">
      <c r="A127" s="7"/>
      <c r="B127" s="7"/>
      <c r="C127" s="7"/>
      <c r="D127" s="7"/>
      <c r="E127" s="7"/>
      <c r="F127" s="7"/>
      <c r="G127" s="67"/>
      <c r="H127" s="67"/>
      <c r="I127" s="97"/>
      <c r="J127" s="67"/>
      <c r="K127" s="7"/>
      <c r="L127" s="97"/>
      <c r="M127" s="97"/>
    </row>
    <row r="128" ht="15.75" customHeight="1">
      <c r="A128" s="7"/>
      <c r="B128" s="7"/>
      <c r="C128" s="7"/>
      <c r="D128" s="7"/>
      <c r="E128" s="7"/>
      <c r="F128" s="7"/>
      <c r="G128" s="67"/>
      <c r="H128" s="67"/>
      <c r="I128" s="97"/>
      <c r="J128" s="67"/>
      <c r="K128" s="7"/>
      <c r="L128" s="97"/>
      <c r="M128" s="97"/>
    </row>
    <row r="129" ht="15.75" customHeight="1">
      <c r="A129" s="7"/>
      <c r="B129" s="7"/>
      <c r="C129" s="7"/>
      <c r="D129" s="7"/>
      <c r="E129" s="7"/>
      <c r="F129" s="7"/>
      <c r="G129" s="67"/>
      <c r="H129" s="67"/>
      <c r="I129" s="97"/>
      <c r="J129" s="67"/>
      <c r="K129" s="7"/>
      <c r="L129" s="97"/>
      <c r="M129" s="97"/>
    </row>
    <row r="130" ht="15.75" customHeight="1">
      <c r="A130" s="7"/>
      <c r="B130" s="7"/>
      <c r="C130" s="7"/>
      <c r="D130" s="7"/>
      <c r="E130" s="7"/>
      <c r="F130" s="7"/>
      <c r="G130" s="67"/>
      <c r="H130" s="67"/>
      <c r="I130" s="97"/>
      <c r="J130" s="67"/>
      <c r="K130" s="7"/>
      <c r="L130" s="97"/>
      <c r="M130" s="97"/>
    </row>
    <row r="131" ht="15.75" customHeight="1">
      <c r="A131" s="7"/>
      <c r="B131" s="7"/>
      <c r="C131" s="7"/>
      <c r="D131" s="7"/>
      <c r="E131" s="7"/>
      <c r="F131" s="7"/>
      <c r="G131" s="67"/>
      <c r="H131" s="67"/>
      <c r="I131" s="97"/>
      <c r="J131" s="67"/>
      <c r="K131" s="7"/>
      <c r="L131" s="97"/>
      <c r="M131" s="97"/>
    </row>
    <row r="132" ht="15.75" customHeight="1">
      <c r="A132" s="7"/>
      <c r="B132" s="7"/>
      <c r="C132" s="7"/>
      <c r="D132" s="7"/>
      <c r="E132" s="7"/>
      <c r="F132" s="7"/>
      <c r="G132" s="67"/>
      <c r="H132" s="67"/>
      <c r="I132" s="97"/>
      <c r="J132" s="67"/>
      <c r="K132" s="7"/>
      <c r="L132" s="97"/>
      <c r="M132" s="97"/>
    </row>
    <row r="133" ht="15.75" customHeight="1">
      <c r="A133" s="7"/>
      <c r="B133" s="7"/>
      <c r="C133" s="7"/>
      <c r="D133" s="7"/>
      <c r="E133" s="7"/>
      <c r="F133" s="7"/>
      <c r="G133" s="67"/>
      <c r="H133" s="67"/>
      <c r="I133" s="97"/>
      <c r="J133" s="67"/>
      <c r="K133" s="7"/>
      <c r="L133" s="97"/>
      <c r="M133" s="97"/>
    </row>
    <row r="134" ht="15.75" customHeight="1">
      <c r="A134" s="7"/>
      <c r="B134" s="7"/>
      <c r="C134" s="7"/>
      <c r="D134" s="7"/>
      <c r="E134" s="7"/>
      <c r="F134" s="7"/>
      <c r="G134" s="67"/>
      <c r="H134" s="67"/>
      <c r="I134" s="97"/>
      <c r="J134" s="67"/>
      <c r="K134" s="7"/>
      <c r="L134" s="97"/>
      <c r="M134" s="97"/>
    </row>
    <row r="135" ht="15.75" customHeight="1">
      <c r="A135" s="7"/>
      <c r="B135" s="7"/>
      <c r="C135" s="7"/>
      <c r="D135" s="7"/>
      <c r="E135" s="7"/>
      <c r="F135" s="7"/>
      <c r="G135" s="67"/>
      <c r="H135" s="67"/>
      <c r="I135" s="97"/>
      <c r="J135" s="67"/>
      <c r="K135" s="7"/>
      <c r="L135" s="97"/>
      <c r="M135" s="97"/>
    </row>
    <row r="136" ht="15.75" customHeight="1">
      <c r="A136" s="7"/>
      <c r="B136" s="7"/>
      <c r="C136" s="7"/>
      <c r="D136" s="7"/>
      <c r="E136" s="7"/>
      <c r="F136" s="7"/>
      <c r="G136" s="67"/>
      <c r="H136" s="67"/>
      <c r="I136" s="97"/>
      <c r="J136" s="67"/>
      <c r="K136" s="7"/>
      <c r="L136" s="97"/>
      <c r="M136" s="97"/>
    </row>
    <row r="137" ht="15.75" customHeight="1">
      <c r="A137" s="7"/>
      <c r="B137" s="7"/>
      <c r="C137" s="7"/>
      <c r="D137" s="7"/>
      <c r="E137" s="7"/>
      <c r="F137" s="7"/>
      <c r="G137" s="67"/>
      <c r="H137" s="67"/>
      <c r="I137" s="97"/>
      <c r="J137" s="67"/>
      <c r="K137" s="7"/>
      <c r="L137" s="97"/>
      <c r="M137" s="97"/>
    </row>
    <row r="138" ht="15.75" customHeight="1">
      <c r="A138" s="7"/>
      <c r="B138" s="7"/>
      <c r="C138" s="7"/>
      <c r="D138" s="7"/>
      <c r="E138" s="7"/>
      <c r="F138" s="7"/>
      <c r="G138" s="67"/>
      <c r="H138" s="67"/>
      <c r="I138" s="97"/>
      <c r="J138" s="67"/>
      <c r="K138" s="7"/>
      <c r="L138" s="97"/>
      <c r="M138" s="97"/>
    </row>
    <row r="139" ht="15.75" customHeight="1">
      <c r="A139" s="7"/>
      <c r="B139" s="7"/>
      <c r="C139" s="7"/>
      <c r="D139" s="7"/>
      <c r="E139" s="7"/>
      <c r="F139" s="7"/>
      <c r="G139" s="67"/>
      <c r="H139" s="67"/>
      <c r="I139" s="97"/>
      <c r="J139" s="67"/>
      <c r="K139" s="7"/>
      <c r="L139" s="97"/>
      <c r="M139" s="97"/>
    </row>
    <row r="140" ht="15.75" customHeight="1">
      <c r="A140" s="7"/>
      <c r="B140" s="7"/>
      <c r="C140" s="7"/>
      <c r="D140" s="7"/>
      <c r="E140" s="7"/>
      <c r="F140" s="7"/>
      <c r="G140" s="67"/>
      <c r="H140" s="67"/>
      <c r="I140" s="97"/>
      <c r="J140" s="67"/>
      <c r="K140" s="7"/>
      <c r="L140" s="97"/>
      <c r="M140" s="97"/>
    </row>
    <row r="141" ht="15.75" customHeight="1">
      <c r="A141" s="7"/>
      <c r="B141" s="7"/>
      <c r="C141" s="7"/>
      <c r="D141" s="7"/>
      <c r="E141" s="7"/>
      <c r="F141" s="7"/>
      <c r="G141" s="67"/>
      <c r="H141" s="67"/>
      <c r="I141" s="97"/>
      <c r="J141" s="67"/>
      <c r="K141" s="7"/>
      <c r="L141" s="97"/>
      <c r="M141" s="97"/>
    </row>
    <row r="142" ht="15.75" customHeight="1">
      <c r="A142" s="7"/>
      <c r="B142" s="7"/>
      <c r="C142" s="7"/>
      <c r="D142" s="7"/>
      <c r="E142" s="7"/>
      <c r="F142" s="7"/>
      <c r="G142" s="67"/>
      <c r="H142" s="67"/>
      <c r="I142" s="97"/>
      <c r="J142" s="67"/>
      <c r="K142" s="7"/>
      <c r="L142" s="97"/>
      <c r="M142" s="97"/>
    </row>
    <row r="143" ht="15.75" customHeight="1">
      <c r="A143" s="7"/>
      <c r="B143" s="7"/>
      <c r="C143" s="7"/>
      <c r="D143" s="7"/>
      <c r="E143" s="7"/>
      <c r="F143" s="7"/>
      <c r="G143" s="67"/>
      <c r="H143" s="67"/>
      <c r="I143" s="97"/>
      <c r="J143" s="67"/>
      <c r="K143" s="7"/>
      <c r="L143" s="97"/>
      <c r="M143" s="97"/>
    </row>
    <row r="144" ht="15.75" customHeight="1">
      <c r="A144" s="7"/>
      <c r="B144" s="7"/>
      <c r="C144" s="7"/>
      <c r="D144" s="7"/>
      <c r="E144" s="7"/>
      <c r="F144" s="7"/>
      <c r="G144" s="67"/>
      <c r="H144" s="67"/>
      <c r="I144" s="97"/>
      <c r="J144" s="67"/>
      <c r="K144" s="7"/>
      <c r="L144" s="97"/>
      <c r="M144" s="97"/>
    </row>
    <row r="145" ht="15.75" customHeight="1">
      <c r="A145" s="7"/>
      <c r="B145" s="7"/>
      <c r="C145" s="7"/>
      <c r="D145" s="7"/>
      <c r="E145" s="7"/>
      <c r="F145" s="7"/>
      <c r="G145" s="67"/>
      <c r="H145" s="67"/>
      <c r="I145" s="97"/>
      <c r="J145" s="67"/>
      <c r="K145" s="7"/>
      <c r="L145" s="97"/>
      <c r="M145" s="97"/>
    </row>
    <row r="146" ht="15.75" customHeight="1">
      <c r="A146" s="7"/>
      <c r="B146" s="7"/>
      <c r="C146" s="7"/>
      <c r="D146" s="7"/>
      <c r="E146" s="7"/>
      <c r="F146" s="7"/>
      <c r="G146" s="67"/>
      <c r="H146" s="67"/>
      <c r="I146" s="97"/>
      <c r="J146" s="67"/>
      <c r="K146" s="7"/>
      <c r="L146" s="97"/>
      <c r="M146" s="97"/>
    </row>
    <row r="147" ht="15.75" customHeight="1">
      <c r="A147" s="7"/>
      <c r="B147" s="7"/>
      <c r="C147" s="7"/>
      <c r="D147" s="7"/>
      <c r="E147" s="7"/>
      <c r="F147" s="7"/>
      <c r="G147" s="67"/>
      <c r="H147" s="67"/>
      <c r="I147" s="97"/>
      <c r="J147" s="67"/>
      <c r="K147" s="7"/>
      <c r="L147" s="97"/>
      <c r="M147" s="97"/>
    </row>
    <row r="148" ht="15.75" customHeight="1">
      <c r="A148" s="7"/>
      <c r="B148" s="7"/>
      <c r="C148" s="7"/>
      <c r="D148" s="7"/>
      <c r="E148" s="7"/>
      <c r="F148" s="7"/>
      <c r="G148" s="67"/>
      <c r="H148" s="67"/>
      <c r="I148" s="97"/>
      <c r="J148" s="67"/>
      <c r="K148" s="7"/>
      <c r="L148" s="97"/>
      <c r="M148" s="97"/>
    </row>
    <row r="149" ht="15.75" customHeight="1">
      <c r="A149" s="7"/>
      <c r="B149" s="7"/>
      <c r="C149" s="7"/>
      <c r="D149" s="7"/>
      <c r="E149" s="7"/>
      <c r="F149" s="7"/>
      <c r="G149" s="67"/>
      <c r="H149" s="67"/>
      <c r="I149" s="97"/>
      <c r="J149" s="67"/>
      <c r="K149" s="7"/>
      <c r="L149" s="97"/>
      <c r="M149" s="97"/>
    </row>
    <row r="150" ht="15.75" customHeight="1">
      <c r="A150" s="7"/>
      <c r="B150" s="7"/>
      <c r="C150" s="7"/>
      <c r="D150" s="7"/>
      <c r="E150" s="7"/>
      <c r="F150" s="7"/>
      <c r="G150" s="67"/>
      <c r="H150" s="67"/>
      <c r="I150" s="97"/>
      <c r="J150" s="67"/>
      <c r="K150" s="7"/>
      <c r="L150" s="97"/>
      <c r="M150" s="97"/>
    </row>
    <row r="151" ht="15.75" customHeight="1">
      <c r="A151" s="7"/>
      <c r="B151" s="7"/>
      <c r="C151" s="7"/>
      <c r="D151" s="7"/>
      <c r="E151" s="7"/>
      <c r="F151" s="7"/>
      <c r="G151" s="67"/>
      <c r="H151" s="67"/>
      <c r="I151" s="97"/>
      <c r="J151" s="67"/>
      <c r="K151" s="7"/>
      <c r="L151" s="97"/>
      <c r="M151" s="97"/>
    </row>
    <row r="152" ht="15.75" customHeight="1">
      <c r="A152" s="7"/>
      <c r="B152" s="7"/>
      <c r="C152" s="7"/>
      <c r="D152" s="7"/>
      <c r="E152" s="7"/>
      <c r="F152" s="7"/>
      <c r="G152" s="67"/>
      <c r="H152" s="67"/>
      <c r="I152" s="97"/>
      <c r="J152" s="67"/>
      <c r="K152" s="7"/>
      <c r="L152" s="97"/>
      <c r="M152" s="97"/>
    </row>
    <row r="153" ht="15.75" customHeight="1">
      <c r="A153" s="7"/>
      <c r="B153" s="7"/>
      <c r="C153" s="7"/>
      <c r="D153" s="7"/>
      <c r="E153" s="7"/>
      <c r="F153" s="7"/>
      <c r="G153" s="67"/>
      <c r="H153" s="67"/>
      <c r="I153" s="97"/>
      <c r="J153" s="67"/>
      <c r="K153" s="7"/>
      <c r="L153" s="97"/>
      <c r="M153" s="97"/>
    </row>
    <row r="154" ht="15.75" customHeight="1">
      <c r="A154" s="7"/>
      <c r="B154" s="7"/>
      <c r="C154" s="7"/>
      <c r="D154" s="7"/>
      <c r="E154" s="7"/>
      <c r="F154" s="7"/>
      <c r="G154" s="67"/>
      <c r="H154" s="67"/>
      <c r="I154" s="97"/>
      <c r="J154" s="67"/>
      <c r="K154" s="7"/>
      <c r="L154" s="97"/>
      <c r="M154" s="97"/>
    </row>
    <row r="155" ht="15.75" customHeight="1">
      <c r="A155" s="7"/>
      <c r="B155" s="7"/>
      <c r="C155" s="7"/>
      <c r="D155" s="7"/>
      <c r="E155" s="7"/>
      <c r="F155" s="7"/>
      <c r="G155" s="67"/>
      <c r="H155" s="67"/>
      <c r="I155" s="97"/>
      <c r="J155" s="67"/>
      <c r="K155" s="7"/>
      <c r="L155" s="97"/>
      <c r="M155" s="97"/>
    </row>
    <row r="156" ht="15.75" customHeight="1">
      <c r="A156" s="7"/>
      <c r="B156" s="7"/>
      <c r="C156" s="7"/>
      <c r="D156" s="7"/>
      <c r="E156" s="7"/>
      <c r="F156" s="7"/>
      <c r="G156" s="67"/>
      <c r="H156" s="67"/>
      <c r="I156" s="97"/>
      <c r="J156" s="67"/>
      <c r="K156" s="7"/>
      <c r="L156" s="97"/>
      <c r="M156" s="97"/>
    </row>
    <row r="157" ht="15.75" customHeight="1">
      <c r="A157" s="7"/>
      <c r="B157" s="7"/>
      <c r="C157" s="7"/>
      <c r="D157" s="7"/>
      <c r="E157" s="7"/>
      <c r="F157" s="7"/>
      <c r="G157" s="67"/>
      <c r="H157" s="67"/>
      <c r="I157" s="97"/>
      <c r="J157" s="67"/>
      <c r="K157" s="7"/>
      <c r="L157" s="97"/>
      <c r="M157" s="97"/>
    </row>
    <row r="158" ht="15.75" customHeight="1">
      <c r="A158" s="7"/>
      <c r="B158" s="7"/>
      <c r="C158" s="7"/>
      <c r="D158" s="7"/>
      <c r="E158" s="7"/>
      <c r="F158" s="7"/>
      <c r="G158" s="67"/>
      <c r="H158" s="67"/>
      <c r="I158" s="97"/>
      <c r="J158" s="67"/>
      <c r="K158" s="7"/>
      <c r="L158" s="97"/>
      <c r="M158" s="97"/>
    </row>
    <row r="159" ht="15.75" customHeight="1">
      <c r="A159" s="7"/>
      <c r="B159" s="7"/>
      <c r="C159" s="7"/>
      <c r="D159" s="7"/>
      <c r="E159" s="7"/>
      <c r="F159" s="7"/>
      <c r="G159" s="67"/>
      <c r="H159" s="67"/>
      <c r="I159" s="97"/>
      <c r="J159" s="67"/>
      <c r="K159" s="7"/>
      <c r="L159" s="97"/>
      <c r="M159" s="97"/>
    </row>
    <row r="160" ht="15.75" customHeight="1">
      <c r="A160" s="7"/>
      <c r="B160" s="7"/>
      <c r="C160" s="7"/>
      <c r="D160" s="7"/>
      <c r="E160" s="7"/>
      <c r="F160" s="7"/>
      <c r="G160" s="67"/>
      <c r="H160" s="67"/>
      <c r="I160" s="97"/>
      <c r="J160" s="67"/>
      <c r="K160" s="7"/>
      <c r="L160" s="97"/>
      <c r="M160" s="97"/>
    </row>
    <row r="161" ht="15.75" customHeight="1">
      <c r="A161" s="7"/>
      <c r="B161" s="7"/>
      <c r="C161" s="7"/>
      <c r="D161" s="7"/>
      <c r="E161" s="7"/>
      <c r="F161" s="7"/>
      <c r="G161" s="67"/>
      <c r="H161" s="67"/>
      <c r="I161" s="97"/>
      <c r="J161" s="67"/>
      <c r="K161" s="7"/>
      <c r="L161" s="97"/>
      <c r="M161" s="97"/>
    </row>
    <row r="162" ht="15.75" customHeight="1">
      <c r="A162" s="7"/>
      <c r="B162" s="7"/>
      <c r="C162" s="7"/>
      <c r="D162" s="7"/>
      <c r="E162" s="7"/>
      <c r="F162" s="7"/>
      <c r="G162" s="67"/>
      <c r="H162" s="67"/>
      <c r="I162" s="97"/>
      <c r="J162" s="67"/>
      <c r="K162" s="7"/>
      <c r="L162" s="97"/>
      <c r="M162" s="97"/>
    </row>
    <row r="163" ht="15.75" customHeight="1">
      <c r="A163" s="7"/>
      <c r="B163" s="7"/>
      <c r="C163" s="7"/>
      <c r="D163" s="7"/>
      <c r="E163" s="7"/>
      <c r="F163" s="7"/>
      <c r="G163" s="67"/>
      <c r="H163" s="67"/>
      <c r="I163" s="97"/>
      <c r="J163" s="67"/>
      <c r="K163" s="7"/>
      <c r="L163" s="97"/>
      <c r="M163" s="97"/>
    </row>
    <row r="164" ht="15.75" customHeight="1">
      <c r="A164" s="7"/>
      <c r="B164" s="7"/>
      <c r="C164" s="7"/>
      <c r="D164" s="7"/>
      <c r="E164" s="7"/>
      <c r="F164" s="7"/>
      <c r="G164" s="67"/>
      <c r="H164" s="67"/>
      <c r="I164" s="97"/>
      <c r="J164" s="67"/>
      <c r="K164" s="7"/>
      <c r="L164" s="97"/>
      <c r="M164" s="97"/>
    </row>
    <row r="165" ht="15.75" customHeight="1">
      <c r="A165" s="7"/>
      <c r="B165" s="7"/>
      <c r="C165" s="7"/>
      <c r="D165" s="7"/>
      <c r="E165" s="7"/>
      <c r="F165" s="7"/>
      <c r="G165" s="67"/>
      <c r="H165" s="67"/>
      <c r="I165" s="97"/>
      <c r="J165" s="67"/>
      <c r="K165" s="7"/>
      <c r="L165" s="97"/>
      <c r="M165" s="97"/>
    </row>
    <row r="166" ht="15.75" customHeight="1">
      <c r="A166" s="7"/>
      <c r="B166" s="7"/>
      <c r="C166" s="7"/>
      <c r="D166" s="7"/>
      <c r="E166" s="7"/>
      <c r="F166" s="7"/>
      <c r="G166" s="67"/>
      <c r="H166" s="67"/>
      <c r="I166" s="97"/>
      <c r="J166" s="67"/>
      <c r="K166" s="7"/>
      <c r="L166" s="97"/>
      <c r="M166" s="97"/>
    </row>
    <row r="167" ht="15.75" customHeight="1">
      <c r="A167" s="7"/>
      <c r="B167" s="7"/>
      <c r="C167" s="7"/>
      <c r="D167" s="7"/>
      <c r="E167" s="7"/>
      <c r="F167" s="7"/>
      <c r="G167" s="67"/>
      <c r="H167" s="67"/>
      <c r="I167" s="97"/>
      <c r="J167" s="67"/>
      <c r="K167" s="7"/>
      <c r="L167" s="97"/>
      <c r="M167" s="97"/>
    </row>
    <row r="168" ht="15.75" customHeight="1">
      <c r="A168" s="7"/>
      <c r="B168" s="7"/>
      <c r="C168" s="7"/>
      <c r="D168" s="7"/>
      <c r="E168" s="7"/>
      <c r="F168" s="7"/>
      <c r="G168" s="67"/>
      <c r="H168" s="67"/>
      <c r="I168" s="97"/>
      <c r="J168" s="67"/>
      <c r="K168" s="7"/>
      <c r="L168" s="97"/>
      <c r="M168" s="97"/>
    </row>
    <row r="169" ht="15.75" customHeight="1">
      <c r="A169" s="7"/>
      <c r="B169" s="7"/>
      <c r="C169" s="7"/>
      <c r="D169" s="7"/>
      <c r="E169" s="7"/>
      <c r="F169" s="7"/>
      <c r="G169" s="67"/>
      <c r="H169" s="67"/>
      <c r="I169" s="97"/>
      <c r="J169" s="67"/>
      <c r="K169" s="7"/>
      <c r="L169" s="97"/>
      <c r="M169" s="97"/>
    </row>
    <row r="170" ht="15.75" customHeight="1">
      <c r="A170" s="7"/>
      <c r="B170" s="7"/>
      <c r="C170" s="7"/>
      <c r="D170" s="7"/>
      <c r="E170" s="7"/>
      <c r="F170" s="7"/>
      <c r="G170" s="67"/>
      <c r="H170" s="67"/>
      <c r="I170" s="97"/>
      <c r="J170" s="67"/>
      <c r="K170" s="7"/>
      <c r="L170" s="97"/>
      <c r="M170" s="97"/>
    </row>
    <row r="171" ht="15.75" customHeight="1">
      <c r="A171" s="7"/>
      <c r="B171" s="7"/>
      <c r="C171" s="7"/>
      <c r="D171" s="7"/>
      <c r="E171" s="7"/>
      <c r="F171" s="7"/>
      <c r="G171" s="67"/>
      <c r="H171" s="67"/>
      <c r="I171" s="97"/>
      <c r="J171" s="67"/>
      <c r="K171" s="7"/>
      <c r="L171" s="97"/>
      <c r="M171" s="97"/>
    </row>
    <row r="172" ht="15.75" customHeight="1">
      <c r="A172" s="7"/>
      <c r="B172" s="7"/>
      <c r="C172" s="7"/>
      <c r="D172" s="7"/>
      <c r="E172" s="7"/>
      <c r="F172" s="7"/>
      <c r="G172" s="67"/>
      <c r="H172" s="67"/>
      <c r="I172" s="97"/>
      <c r="J172" s="67"/>
      <c r="K172" s="7"/>
      <c r="L172" s="97"/>
      <c r="M172" s="97"/>
    </row>
    <row r="173" ht="15.75" customHeight="1">
      <c r="A173" s="7"/>
      <c r="B173" s="7"/>
      <c r="C173" s="7"/>
      <c r="D173" s="7"/>
      <c r="E173" s="7"/>
      <c r="F173" s="7"/>
      <c r="G173" s="67"/>
      <c r="H173" s="67"/>
      <c r="I173" s="97"/>
      <c r="J173" s="67"/>
      <c r="K173" s="7"/>
      <c r="L173" s="97"/>
      <c r="M173" s="97"/>
    </row>
    <row r="174" ht="15.75" customHeight="1">
      <c r="A174" s="7"/>
      <c r="B174" s="7"/>
      <c r="C174" s="7"/>
      <c r="D174" s="7"/>
      <c r="E174" s="7"/>
      <c r="F174" s="7"/>
      <c r="G174" s="67"/>
      <c r="H174" s="67"/>
      <c r="I174" s="97"/>
      <c r="J174" s="67"/>
      <c r="K174" s="7"/>
      <c r="L174" s="97"/>
      <c r="M174" s="97"/>
    </row>
    <row r="175" ht="15.75" customHeight="1">
      <c r="A175" s="7"/>
      <c r="B175" s="7"/>
      <c r="C175" s="7"/>
      <c r="D175" s="7"/>
      <c r="E175" s="7"/>
      <c r="F175" s="7"/>
      <c r="G175" s="67"/>
      <c r="H175" s="67"/>
      <c r="I175" s="97"/>
      <c r="J175" s="67"/>
      <c r="K175" s="7"/>
      <c r="L175" s="97"/>
      <c r="M175" s="97"/>
    </row>
    <row r="176" ht="15.75" customHeight="1">
      <c r="A176" s="7"/>
      <c r="B176" s="7"/>
      <c r="C176" s="7"/>
      <c r="D176" s="7"/>
      <c r="E176" s="7"/>
      <c r="F176" s="7"/>
      <c r="G176" s="67"/>
      <c r="H176" s="67"/>
      <c r="I176" s="97"/>
      <c r="J176" s="67"/>
      <c r="K176" s="7"/>
      <c r="L176" s="97"/>
      <c r="M176" s="97"/>
    </row>
    <row r="177" ht="15.75" customHeight="1">
      <c r="A177" s="7"/>
      <c r="B177" s="7"/>
      <c r="C177" s="7"/>
      <c r="D177" s="7"/>
      <c r="E177" s="7"/>
      <c r="F177" s="7"/>
      <c r="G177" s="67"/>
      <c r="H177" s="67"/>
      <c r="I177" s="97"/>
      <c r="J177" s="67"/>
      <c r="K177" s="7"/>
      <c r="L177" s="97"/>
      <c r="M177" s="97"/>
    </row>
    <row r="178" ht="15.75" customHeight="1">
      <c r="A178" s="7"/>
      <c r="B178" s="7"/>
      <c r="C178" s="7"/>
      <c r="D178" s="7"/>
      <c r="E178" s="7"/>
      <c r="F178" s="7"/>
      <c r="G178" s="67"/>
      <c r="H178" s="67"/>
      <c r="I178" s="97"/>
      <c r="J178" s="67"/>
      <c r="K178" s="7"/>
      <c r="L178" s="97"/>
      <c r="M178" s="97"/>
    </row>
    <row r="179" ht="15.75" customHeight="1">
      <c r="A179" s="7"/>
      <c r="B179" s="7"/>
      <c r="C179" s="7"/>
      <c r="D179" s="7"/>
      <c r="E179" s="7"/>
      <c r="F179" s="7"/>
      <c r="G179" s="67"/>
      <c r="H179" s="67"/>
      <c r="I179" s="97"/>
      <c r="J179" s="67"/>
      <c r="K179" s="7"/>
      <c r="L179" s="97"/>
      <c r="M179" s="97"/>
    </row>
    <row r="180" ht="15.75" customHeight="1">
      <c r="A180" s="7"/>
      <c r="B180" s="7"/>
      <c r="C180" s="7"/>
      <c r="D180" s="7"/>
      <c r="E180" s="7"/>
      <c r="F180" s="7"/>
      <c r="G180" s="67"/>
      <c r="H180" s="67"/>
      <c r="I180" s="97"/>
      <c r="J180" s="67"/>
      <c r="K180" s="7"/>
      <c r="L180" s="97"/>
      <c r="M180" s="97"/>
    </row>
    <row r="181" ht="15.75" customHeight="1">
      <c r="A181" s="7"/>
      <c r="B181" s="7"/>
      <c r="C181" s="7"/>
      <c r="D181" s="7"/>
      <c r="E181" s="7"/>
      <c r="F181" s="7"/>
      <c r="G181" s="67"/>
      <c r="H181" s="67"/>
      <c r="I181" s="97"/>
      <c r="J181" s="67"/>
      <c r="K181" s="7"/>
      <c r="L181" s="97"/>
      <c r="M181" s="97"/>
    </row>
    <row r="182" ht="15.75" customHeight="1">
      <c r="A182" s="7"/>
      <c r="B182" s="7"/>
      <c r="C182" s="7"/>
      <c r="D182" s="7"/>
      <c r="E182" s="7"/>
      <c r="F182" s="7"/>
      <c r="G182" s="67"/>
      <c r="H182" s="67"/>
      <c r="I182" s="97"/>
      <c r="J182" s="67"/>
      <c r="K182" s="7"/>
      <c r="L182" s="97"/>
      <c r="M182" s="97"/>
    </row>
    <row r="183" ht="15.75" customHeight="1">
      <c r="A183" s="7"/>
      <c r="B183" s="7"/>
      <c r="C183" s="7"/>
      <c r="D183" s="7"/>
      <c r="E183" s="7"/>
      <c r="F183" s="7"/>
      <c r="G183" s="67"/>
      <c r="H183" s="67"/>
      <c r="I183" s="97"/>
      <c r="J183" s="67"/>
      <c r="K183" s="7"/>
      <c r="L183" s="97"/>
      <c r="M183" s="97"/>
    </row>
    <row r="184" ht="15.75" customHeight="1">
      <c r="A184" s="7"/>
      <c r="B184" s="7"/>
      <c r="C184" s="7"/>
      <c r="D184" s="7"/>
      <c r="E184" s="7"/>
      <c r="F184" s="7"/>
      <c r="G184" s="67"/>
      <c r="H184" s="67"/>
      <c r="I184" s="97"/>
      <c r="J184" s="67"/>
      <c r="K184" s="7"/>
      <c r="L184" s="97"/>
      <c r="M184" s="97"/>
    </row>
    <row r="185" ht="15.75" customHeight="1">
      <c r="A185" s="7"/>
      <c r="B185" s="7"/>
      <c r="C185" s="7"/>
      <c r="D185" s="7"/>
      <c r="E185" s="7"/>
      <c r="F185" s="7"/>
      <c r="G185" s="67"/>
      <c r="H185" s="67"/>
      <c r="I185" s="97"/>
      <c r="J185" s="67"/>
      <c r="K185" s="7"/>
      <c r="L185" s="97"/>
      <c r="M185" s="97"/>
    </row>
    <row r="186" ht="15.75" customHeight="1">
      <c r="A186" s="7"/>
      <c r="B186" s="7"/>
      <c r="C186" s="7"/>
      <c r="D186" s="7"/>
      <c r="E186" s="7"/>
      <c r="F186" s="7"/>
      <c r="G186" s="67"/>
      <c r="H186" s="67"/>
      <c r="I186" s="97"/>
      <c r="J186" s="67"/>
      <c r="K186" s="7"/>
      <c r="L186" s="97"/>
      <c r="M186" s="97"/>
    </row>
    <row r="187" ht="15.75" customHeight="1">
      <c r="A187" s="7"/>
      <c r="B187" s="7"/>
      <c r="C187" s="7"/>
      <c r="D187" s="7"/>
      <c r="E187" s="7"/>
      <c r="F187" s="7"/>
      <c r="G187" s="67"/>
      <c r="H187" s="67"/>
      <c r="I187" s="97"/>
      <c r="J187" s="67"/>
      <c r="K187" s="7"/>
      <c r="L187" s="97"/>
      <c r="M187" s="97"/>
    </row>
    <row r="188" ht="15.75" customHeight="1">
      <c r="A188" s="7"/>
      <c r="B188" s="7"/>
      <c r="C188" s="7"/>
      <c r="D188" s="7"/>
      <c r="E188" s="7"/>
      <c r="F188" s="7"/>
      <c r="G188" s="67"/>
      <c r="H188" s="67"/>
      <c r="I188" s="97"/>
      <c r="J188" s="67"/>
      <c r="K188" s="7"/>
      <c r="L188" s="97"/>
      <c r="M188" s="97"/>
    </row>
    <row r="189" ht="15.75" customHeight="1">
      <c r="A189" s="7"/>
      <c r="B189" s="7"/>
      <c r="C189" s="7"/>
      <c r="D189" s="7"/>
      <c r="E189" s="7"/>
      <c r="F189" s="7"/>
      <c r="G189" s="67"/>
      <c r="H189" s="67"/>
      <c r="I189" s="97"/>
      <c r="J189" s="67"/>
      <c r="K189" s="7"/>
      <c r="L189" s="97"/>
      <c r="M189" s="97"/>
    </row>
    <row r="190" ht="15.75" customHeight="1">
      <c r="A190" s="7"/>
      <c r="B190" s="7"/>
      <c r="C190" s="7"/>
      <c r="D190" s="7"/>
      <c r="E190" s="7"/>
      <c r="F190" s="7"/>
      <c r="G190" s="67"/>
      <c r="H190" s="67"/>
      <c r="I190" s="97"/>
      <c r="J190" s="67"/>
      <c r="K190" s="7"/>
      <c r="L190" s="97"/>
      <c r="M190" s="97"/>
    </row>
    <row r="191" ht="15.75" customHeight="1">
      <c r="A191" s="7"/>
      <c r="B191" s="7"/>
      <c r="C191" s="7"/>
      <c r="D191" s="7"/>
      <c r="E191" s="7"/>
      <c r="F191" s="7"/>
      <c r="G191" s="67"/>
      <c r="H191" s="67"/>
      <c r="I191" s="97"/>
      <c r="J191" s="67"/>
      <c r="K191" s="7"/>
      <c r="L191" s="97"/>
      <c r="M191" s="97"/>
    </row>
    <row r="192" ht="15.75" customHeight="1">
      <c r="A192" s="7"/>
      <c r="B192" s="7"/>
      <c r="C192" s="7"/>
      <c r="D192" s="7"/>
      <c r="E192" s="7"/>
      <c r="F192" s="7"/>
      <c r="G192" s="67"/>
      <c r="H192" s="67"/>
      <c r="I192" s="97"/>
      <c r="J192" s="67"/>
      <c r="K192" s="7"/>
      <c r="L192" s="97"/>
      <c r="M192" s="97"/>
    </row>
    <row r="193" ht="15.75" customHeight="1">
      <c r="A193" s="7"/>
      <c r="B193" s="7"/>
      <c r="C193" s="7"/>
      <c r="D193" s="7"/>
      <c r="E193" s="7"/>
      <c r="F193" s="7"/>
      <c r="G193" s="67"/>
      <c r="H193" s="67"/>
      <c r="I193" s="97"/>
      <c r="J193" s="67"/>
      <c r="K193" s="7"/>
      <c r="L193" s="97"/>
      <c r="M193" s="97"/>
    </row>
    <row r="194" ht="15.75" customHeight="1">
      <c r="A194" s="7"/>
      <c r="B194" s="7"/>
      <c r="C194" s="7"/>
      <c r="D194" s="7"/>
      <c r="E194" s="7"/>
      <c r="F194" s="7"/>
      <c r="G194" s="67"/>
      <c r="H194" s="67"/>
      <c r="I194" s="97"/>
      <c r="J194" s="67"/>
      <c r="K194" s="7"/>
      <c r="L194" s="97"/>
      <c r="M194" s="97"/>
    </row>
    <row r="195" ht="15.75" customHeight="1">
      <c r="A195" s="7"/>
      <c r="B195" s="7"/>
      <c r="C195" s="7"/>
      <c r="D195" s="7"/>
      <c r="E195" s="7"/>
      <c r="F195" s="7"/>
      <c r="G195" s="67"/>
      <c r="H195" s="67"/>
      <c r="I195" s="97"/>
      <c r="J195" s="67"/>
      <c r="K195" s="7"/>
      <c r="L195" s="97"/>
      <c r="M195" s="97"/>
    </row>
    <row r="196" ht="15.75" customHeight="1">
      <c r="A196" s="7"/>
      <c r="B196" s="7"/>
      <c r="C196" s="7"/>
      <c r="D196" s="7"/>
      <c r="E196" s="7"/>
      <c r="F196" s="7"/>
      <c r="G196" s="67"/>
      <c r="H196" s="67"/>
      <c r="I196" s="97"/>
      <c r="J196" s="67"/>
      <c r="K196" s="7"/>
      <c r="L196" s="97"/>
      <c r="M196" s="97"/>
    </row>
    <row r="197" ht="15.75" customHeight="1">
      <c r="A197" s="7"/>
      <c r="B197" s="7"/>
      <c r="C197" s="7"/>
      <c r="D197" s="7"/>
      <c r="E197" s="7"/>
      <c r="F197" s="7"/>
      <c r="G197" s="67"/>
      <c r="H197" s="67"/>
      <c r="I197" s="97"/>
      <c r="J197" s="67"/>
      <c r="K197" s="7"/>
      <c r="L197" s="97"/>
      <c r="M197" s="97"/>
    </row>
    <row r="198" ht="15.75" customHeight="1">
      <c r="A198" s="7"/>
      <c r="B198" s="7"/>
      <c r="C198" s="7"/>
      <c r="D198" s="7"/>
      <c r="E198" s="7"/>
      <c r="F198" s="7"/>
      <c r="G198" s="67"/>
      <c r="H198" s="67"/>
      <c r="I198" s="97"/>
      <c r="J198" s="67"/>
      <c r="K198" s="7"/>
      <c r="L198" s="97"/>
      <c r="M198" s="97"/>
    </row>
    <row r="199" ht="15.75" customHeight="1">
      <c r="A199" s="7"/>
      <c r="B199" s="7"/>
      <c r="C199" s="7"/>
      <c r="D199" s="7"/>
      <c r="E199" s="7"/>
      <c r="F199" s="7"/>
      <c r="G199" s="67"/>
      <c r="H199" s="67"/>
      <c r="I199" s="97"/>
      <c r="J199" s="67"/>
      <c r="K199" s="7"/>
      <c r="L199" s="97"/>
      <c r="M199" s="97"/>
    </row>
    <row r="200" ht="15.75" customHeight="1">
      <c r="A200" s="7"/>
      <c r="B200" s="7"/>
      <c r="C200" s="7"/>
      <c r="D200" s="7"/>
      <c r="E200" s="7"/>
      <c r="F200" s="7"/>
      <c r="G200" s="67"/>
      <c r="H200" s="67"/>
      <c r="I200" s="97"/>
      <c r="J200" s="67"/>
      <c r="K200" s="7"/>
      <c r="L200" s="97"/>
      <c r="M200" s="97"/>
    </row>
    <row r="201" ht="15.75" customHeight="1">
      <c r="A201" s="7"/>
      <c r="B201" s="7"/>
      <c r="C201" s="7"/>
      <c r="D201" s="7"/>
      <c r="E201" s="7"/>
      <c r="F201" s="7"/>
      <c r="G201" s="67"/>
      <c r="H201" s="67"/>
      <c r="I201" s="97"/>
      <c r="J201" s="67"/>
      <c r="K201" s="7"/>
      <c r="L201" s="97"/>
      <c r="M201" s="97"/>
    </row>
    <row r="202" ht="15.75" customHeight="1">
      <c r="A202" s="7"/>
      <c r="B202" s="7"/>
      <c r="C202" s="7"/>
      <c r="D202" s="7"/>
      <c r="E202" s="7"/>
      <c r="F202" s="7"/>
      <c r="G202" s="67"/>
      <c r="H202" s="67"/>
      <c r="I202" s="97"/>
      <c r="J202" s="67"/>
      <c r="K202" s="7"/>
      <c r="L202" s="97"/>
      <c r="M202" s="97"/>
    </row>
    <row r="203" ht="15.75" customHeight="1">
      <c r="A203" s="7"/>
      <c r="B203" s="7"/>
      <c r="C203" s="7"/>
      <c r="D203" s="7"/>
      <c r="E203" s="7"/>
      <c r="F203" s="7"/>
      <c r="G203" s="67"/>
      <c r="H203" s="67"/>
      <c r="I203" s="97"/>
      <c r="J203" s="67"/>
      <c r="K203" s="7"/>
      <c r="L203" s="97"/>
      <c r="M203" s="97"/>
    </row>
    <row r="204" ht="15.75" customHeight="1">
      <c r="A204" s="7"/>
      <c r="B204" s="7"/>
      <c r="C204" s="7"/>
      <c r="D204" s="7"/>
      <c r="E204" s="7"/>
      <c r="F204" s="7"/>
      <c r="G204" s="67"/>
      <c r="H204" s="67"/>
      <c r="I204" s="97"/>
      <c r="J204" s="67"/>
      <c r="K204" s="7"/>
      <c r="L204" s="97"/>
      <c r="M204" s="97"/>
    </row>
    <row r="205" ht="15.75" customHeight="1">
      <c r="A205" s="7"/>
      <c r="B205" s="7"/>
      <c r="C205" s="7"/>
      <c r="D205" s="7"/>
      <c r="E205" s="7"/>
      <c r="F205" s="7"/>
      <c r="G205" s="67"/>
      <c r="H205" s="67"/>
      <c r="I205" s="97"/>
      <c r="J205" s="67"/>
      <c r="K205" s="7"/>
      <c r="L205" s="97"/>
      <c r="M205" s="97"/>
    </row>
    <row r="206" ht="15.75" customHeight="1">
      <c r="A206" s="7"/>
      <c r="B206" s="7"/>
      <c r="C206" s="7"/>
      <c r="D206" s="7"/>
      <c r="E206" s="7"/>
      <c r="F206" s="7"/>
      <c r="G206" s="67"/>
      <c r="H206" s="67"/>
      <c r="I206" s="97"/>
      <c r="J206" s="67"/>
      <c r="K206" s="7"/>
      <c r="L206" s="97"/>
      <c r="M206" s="97"/>
    </row>
    <row r="207" ht="15.75" customHeight="1">
      <c r="A207" s="7"/>
      <c r="B207" s="7"/>
      <c r="C207" s="7"/>
      <c r="D207" s="7"/>
      <c r="E207" s="7"/>
      <c r="F207" s="7"/>
      <c r="G207" s="67"/>
      <c r="H207" s="67"/>
      <c r="I207" s="97"/>
      <c r="J207" s="67"/>
      <c r="K207" s="7"/>
      <c r="L207" s="97"/>
      <c r="M207" s="97"/>
    </row>
    <row r="208" ht="15.75" customHeight="1">
      <c r="A208" s="7"/>
      <c r="B208" s="7"/>
      <c r="C208" s="7"/>
      <c r="D208" s="7"/>
      <c r="E208" s="7"/>
      <c r="F208" s="7"/>
      <c r="G208" s="67"/>
      <c r="H208" s="67"/>
      <c r="I208" s="97"/>
      <c r="J208" s="67"/>
      <c r="K208" s="7"/>
      <c r="L208" s="97"/>
      <c r="M208" s="97"/>
    </row>
    <row r="209" ht="15.75" customHeight="1">
      <c r="A209" s="7"/>
      <c r="B209" s="7"/>
      <c r="C209" s="7"/>
      <c r="D209" s="7"/>
      <c r="E209" s="7"/>
      <c r="F209" s="7"/>
      <c r="G209" s="67"/>
      <c r="H209" s="67"/>
      <c r="I209" s="97"/>
      <c r="J209" s="67"/>
      <c r="K209" s="7"/>
      <c r="L209" s="97"/>
      <c r="M209" s="97"/>
    </row>
    <row r="210" ht="15.75" customHeight="1">
      <c r="A210" s="7"/>
      <c r="B210" s="7"/>
      <c r="C210" s="7"/>
      <c r="D210" s="7"/>
      <c r="E210" s="7"/>
      <c r="F210" s="7"/>
      <c r="G210" s="67"/>
      <c r="H210" s="67"/>
      <c r="I210" s="97"/>
      <c r="J210" s="67"/>
      <c r="K210" s="7"/>
      <c r="L210" s="97"/>
      <c r="M210" s="97"/>
    </row>
    <row r="211" ht="15.75" customHeight="1">
      <c r="A211" s="7"/>
      <c r="B211" s="7"/>
      <c r="C211" s="7"/>
      <c r="D211" s="7"/>
      <c r="E211" s="7"/>
      <c r="F211" s="7"/>
      <c r="G211" s="67"/>
      <c r="H211" s="67"/>
      <c r="I211" s="97"/>
      <c r="J211" s="67"/>
      <c r="K211" s="7"/>
      <c r="L211" s="97"/>
      <c r="M211" s="97"/>
    </row>
    <row r="212" ht="15.75" customHeight="1">
      <c r="A212" s="7"/>
      <c r="B212" s="7"/>
      <c r="C212" s="7"/>
      <c r="D212" s="7"/>
      <c r="E212" s="7"/>
      <c r="F212" s="7"/>
      <c r="G212" s="67"/>
      <c r="H212" s="67"/>
      <c r="I212" s="97"/>
      <c r="J212" s="67"/>
      <c r="K212" s="7"/>
      <c r="L212" s="97"/>
      <c r="M212" s="97"/>
    </row>
    <row r="213" ht="15.75" customHeight="1">
      <c r="A213" s="7"/>
      <c r="B213" s="7"/>
      <c r="C213" s="7"/>
      <c r="D213" s="7"/>
      <c r="E213" s="7"/>
      <c r="F213" s="7"/>
      <c r="G213" s="67"/>
      <c r="H213" s="67"/>
      <c r="I213" s="97"/>
      <c r="J213" s="67"/>
      <c r="K213" s="7"/>
      <c r="L213" s="97"/>
      <c r="M213" s="97"/>
    </row>
    <row r="214" ht="15.75" customHeight="1">
      <c r="A214" s="7"/>
      <c r="B214" s="7"/>
      <c r="C214" s="7"/>
      <c r="D214" s="7"/>
      <c r="E214" s="7"/>
      <c r="F214" s="7"/>
      <c r="G214" s="67"/>
      <c r="H214" s="67"/>
      <c r="I214" s="97"/>
      <c r="J214" s="67"/>
      <c r="K214" s="7"/>
      <c r="L214" s="97"/>
      <c r="M214" s="97"/>
    </row>
    <row r="215" ht="15.75" customHeight="1">
      <c r="A215" s="7"/>
      <c r="B215" s="7"/>
      <c r="C215" s="7"/>
      <c r="D215" s="7"/>
      <c r="E215" s="7"/>
      <c r="F215" s="7"/>
      <c r="G215" s="67"/>
      <c r="H215" s="67"/>
      <c r="I215" s="97"/>
      <c r="J215" s="67"/>
      <c r="K215" s="7"/>
      <c r="L215" s="97"/>
      <c r="M215" s="97"/>
    </row>
    <row r="216" ht="15.75" customHeight="1">
      <c r="A216" s="7"/>
      <c r="B216" s="7"/>
      <c r="C216" s="7"/>
      <c r="D216" s="7"/>
      <c r="E216" s="7"/>
      <c r="F216" s="7"/>
      <c r="G216" s="67"/>
      <c r="H216" s="67"/>
      <c r="I216" s="97"/>
      <c r="J216" s="67"/>
      <c r="K216" s="7"/>
      <c r="L216" s="97"/>
      <c r="M216" s="97"/>
    </row>
    <row r="217" ht="15.75" customHeight="1">
      <c r="A217" s="7"/>
      <c r="B217" s="7"/>
      <c r="C217" s="7"/>
      <c r="D217" s="7"/>
      <c r="E217" s="7"/>
      <c r="F217" s="7"/>
      <c r="G217" s="67"/>
      <c r="H217" s="67"/>
      <c r="I217" s="97"/>
      <c r="J217" s="67"/>
      <c r="K217" s="7"/>
      <c r="L217" s="97"/>
      <c r="M217" s="97"/>
    </row>
    <row r="218" ht="15.75" customHeight="1">
      <c r="A218" s="7"/>
      <c r="B218" s="7"/>
      <c r="C218" s="7"/>
      <c r="D218" s="7"/>
      <c r="E218" s="7"/>
      <c r="F218" s="7"/>
      <c r="G218" s="67"/>
      <c r="H218" s="67"/>
      <c r="I218" s="97"/>
      <c r="J218" s="67"/>
      <c r="K218" s="7"/>
      <c r="L218" s="97"/>
      <c r="M218" s="97"/>
    </row>
    <row r="219" ht="15.75" customHeight="1">
      <c r="A219" s="7"/>
      <c r="B219" s="7"/>
      <c r="C219" s="7"/>
      <c r="D219" s="7"/>
      <c r="E219" s="7"/>
      <c r="F219" s="7"/>
      <c r="G219" s="67"/>
      <c r="H219" s="67"/>
      <c r="I219" s="97"/>
      <c r="J219" s="67"/>
      <c r="K219" s="7"/>
      <c r="L219" s="97"/>
      <c r="M219" s="97"/>
    </row>
    <row r="220" ht="15.75" customHeight="1">
      <c r="A220" s="7"/>
      <c r="B220" s="7"/>
      <c r="C220" s="7"/>
      <c r="D220" s="7"/>
      <c r="E220" s="7"/>
      <c r="F220" s="7"/>
      <c r="G220" s="67"/>
      <c r="H220" s="67"/>
      <c r="I220" s="97"/>
      <c r="J220" s="67"/>
      <c r="K220" s="7"/>
      <c r="L220" s="97"/>
      <c r="M220" s="97"/>
    </row>
    <row r="221" ht="15.75" customHeight="1">
      <c r="A221" s="7"/>
      <c r="B221" s="7"/>
      <c r="C221" s="7"/>
      <c r="D221" s="7"/>
      <c r="E221" s="7"/>
      <c r="F221" s="7"/>
      <c r="G221" s="67"/>
      <c r="H221" s="67"/>
      <c r="I221" s="97"/>
      <c r="J221" s="67"/>
      <c r="K221" s="7"/>
      <c r="L221" s="97"/>
      <c r="M221" s="97"/>
    </row>
    <row r="222" ht="15.75" customHeight="1">
      <c r="A222" s="7"/>
      <c r="B222" s="7"/>
      <c r="C222" s="7"/>
      <c r="D222" s="7"/>
      <c r="E222" s="7"/>
      <c r="F222" s="7"/>
      <c r="G222" s="67"/>
      <c r="H222" s="67"/>
      <c r="I222" s="97"/>
      <c r="J222" s="67"/>
      <c r="K222" s="7"/>
      <c r="L222" s="97"/>
      <c r="M222" s="97"/>
    </row>
    <row r="223" ht="15.75" customHeight="1">
      <c r="A223" s="7"/>
      <c r="B223" s="7"/>
      <c r="C223" s="7"/>
      <c r="D223" s="7"/>
      <c r="E223" s="7"/>
      <c r="F223" s="7"/>
      <c r="G223" s="67"/>
      <c r="H223" s="67"/>
      <c r="I223" s="97"/>
      <c r="J223" s="67"/>
      <c r="K223" s="7"/>
      <c r="L223" s="97"/>
      <c r="M223" s="97"/>
    </row>
    <row r="224" ht="15.75" customHeight="1">
      <c r="A224" s="7"/>
      <c r="B224" s="7"/>
      <c r="C224" s="7"/>
      <c r="D224" s="7"/>
      <c r="E224" s="7"/>
      <c r="F224" s="7"/>
      <c r="G224" s="67"/>
      <c r="H224" s="67"/>
      <c r="I224" s="97"/>
      <c r="J224" s="67"/>
      <c r="K224" s="7"/>
      <c r="L224" s="97"/>
      <c r="M224" s="97"/>
    </row>
    <row r="225" ht="15.75" customHeight="1">
      <c r="A225" s="7"/>
      <c r="B225" s="7"/>
      <c r="C225" s="7"/>
      <c r="D225" s="7"/>
      <c r="E225" s="7"/>
      <c r="F225" s="7"/>
      <c r="G225" s="67"/>
      <c r="H225" s="67"/>
      <c r="I225" s="97"/>
      <c r="J225" s="67"/>
      <c r="K225" s="7"/>
      <c r="L225" s="97"/>
      <c r="M225" s="97"/>
    </row>
    <row r="226" ht="15.75" customHeight="1">
      <c r="A226" s="7"/>
      <c r="B226" s="7"/>
      <c r="C226" s="7"/>
      <c r="D226" s="7"/>
      <c r="E226" s="7"/>
      <c r="F226" s="7"/>
      <c r="G226" s="67"/>
      <c r="H226" s="67"/>
      <c r="I226" s="97"/>
      <c r="J226" s="67"/>
      <c r="K226" s="7"/>
      <c r="L226" s="97"/>
      <c r="M226" s="97"/>
    </row>
    <row r="227" ht="15.75" customHeight="1">
      <c r="A227" s="7"/>
      <c r="B227" s="7"/>
      <c r="C227" s="7"/>
      <c r="D227" s="7"/>
      <c r="E227" s="7"/>
      <c r="F227" s="7"/>
      <c r="G227" s="67"/>
      <c r="H227" s="67"/>
      <c r="I227" s="97"/>
      <c r="J227" s="67"/>
      <c r="K227" s="7"/>
      <c r="L227" s="97"/>
      <c r="M227" s="97"/>
    </row>
    <row r="228" ht="15.75" customHeight="1">
      <c r="A228" s="7"/>
      <c r="B228" s="7"/>
      <c r="C228" s="7"/>
      <c r="D228" s="7"/>
      <c r="E228" s="7"/>
      <c r="F228" s="7"/>
      <c r="G228" s="67"/>
      <c r="H228" s="67"/>
      <c r="I228" s="97"/>
      <c r="J228" s="67"/>
      <c r="K228" s="7"/>
      <c r="L228" s="97"/>
      <c r="M228" s="97"/>
    </row>
    <row r="229" ht="15.75" customHeight="1">
      <c r="A229" s="7"/>
      <c r="B229" s="7"/>
      <c r="C229" s="7"/>
      <c r="D229" s="7"/>
      <c r="E229" s="7"/>
      <c r="F229" s="7"/>
      <c r="G229" s="67"/>
      <c r="H229" s="67"/>
      <c r="I229" s="97"/>
      <c r="J229" s="67"/>
      <c r="K229" s="7"/>
      <c r="L229" s="97"/>
      <c r="M229" s="97"/>
    </row>
    <row r="230" ht="15.75" customHeight="1">
      <c r="A230" s="7"/>
      <c r="B230" s="7"/>
      <c r="C230" s="7"/>
      <c r="D230" s="7"/>
      <c r="E230" s="7"/>
      <c r="F230" s="7"/>
      <c r="G230" s="67"/>
      <c r="H230" s="67"/>
      <c r="I230" s="97"/>
      <c r="J230" s="67"/>
      <c r="K230" s="7"/>
      <c r="L230" s="97"/>
      <c r="M230" s="97"/>
    </row>
    <row r="231" ht="15.75" customHeight="1">
      <c r="A231" s="7"/>
      <c r="B231" s="7"/>
      <c r="C231" s="7"/>
      <c r="D231" s="7"/>
      <c r="E231" s="7"/>
      <c r="F231" s="7"/>
      <c r="G231" s="67"/>
      <c r="H231" s="67"/>
      <c r="I231" s="97"/>
      <c r="J231" s="67"/>
      <c r="K231" s="7"/>
      <c r="L231" s="97"/>
      <c r="M231" s="97"/>
    </row>
    <row r="232" ht="15.75" customHeight="1">
      <c r="A232" s="7"/>
      <c r="B232" s="7"/>
      <c r="C232" s="7"/>
      <c r="D232" s="7"/>
      <c r="E232" s="7"/>
      <c r="F232" s="7"/>
      <c r="G232" s="67"/>
      <c r="H232" s="67"/>
      <c r="I232" s="97"/>
      <c r="J232" s="67"/>
      <c r="K232" s="7"/>
      <c r="L232" s="97"/>
      <c r="M232" s="97"/>
    </row>
    <row r="233" ht="15.75" customHeight="1">
      <c r="A233" s="7"/>
      <c r="B233" s="7"/>
      <c r="C233" s="7"/>
      <c r="D233" s="7"/>
      <c r="E233" s="7"/>
      <c r="F233" s="7"/>
      <c r="G233" s="67"/>
      <c r="H233" s="67"/>
      <c r="I233" s="97"/>
      <c r="J233" s="67"/>
      <c r="K233" s="7"/>
      <c r="L233" s="97"/>
      <c r="M233" s="97"/>
    </row>
    <row r="234" ht="15.75" customHeight="1">
      <c r="A234" s="7"/>
      <c r="B234" s="7"/>
      <c r="C234" s="7"/>
      <c r="D234" s="7"/>
      <c r="E234" s="7"/>
      <c r="F234" s="7"/>
      <c r="G234" s="67"/>
      <c r="H234" s="67"/>
      <c r="I234" s="97"/>
      <c r="J234" s="67"/>
      <c r="K234" s="7"/>
      <c r="L234" s="97"/>
      <c r="M234" s="97"/>
    </row>
    <row r="235" ht="15.75" customHeight="1">
      <c r="A235" s="7"/>
      <c r="B235" s="7"/>
      <c r="C235" s="7"/>
      <c r="D235" s="7"/>
      <c r="E235" s="7"/>
      <c r="F235" s="7"/>
      <c r="G235" s="67"/>
      <c r="H235" s="67"/>
      <c r="I235" s="97"/>
      <c r="J235" s="67"/>
      <c r="K235" s="7"/>
      <c r="L235" s="97"/>
      <c r="M235" s="97"/>
    </row>
    <row r="236" ht="15.75" customHeight="1">
      <c r="A236" s="7"/>
      <c r="B236" s="7"/>
      <c r="C236" s="7"/>
      <c r="D236" s="7"/>
      <c r="E236" s="7"/>
      <c r="F236" s="7"/>
      <c r="G236" s="67"/>
      <c r="H236" s="67"/>
      <c r="I236" s="97"/>
      <c r="J236" s="67"/>
      <c r="K236" s="7"/>
      <c r="L236" s="97"/>
      <c r="M236" s="97"/>
    </row>
    <row r="237" ht="15.75" customHeight="1">
      <c r="A237" s="7"/>
      <c r="B237" s="7"/>
      <c r="C237" s="7"/>
      <c r="D237" s="7"/>
      <c r="E237" s="7"/>
      <c r="F237" s="7"/>
      <c r="G237" s="67"/>
      <c r="H237" s="67"/>
      <c r="I237" s="97"/>
      <c r="J237" s="67"/>
      <c r="K237" s="7"/>
      <c r="L237" s="97"/>
      <c r="M237" s="97"/>
    </row>
    <row r="238" ht="15.75" customHeight="1">
      <c r="A238" s="7"/>
      <c r="B238" s="7"/>
      <c r="C238" s="7"/>
      <c r="D238" s="7"/>
      <c r="E238" s="7"/>
      <c r="F238" s="7"/>
      <c r="G238" s="67"/>
      <c r="H238" s="67"/>
      <c r="I238" s="97"/>
      <c r="J238" s="67"/>
      <c r="K238" s="7"/>
      <c r="L238" s="97"/>
      <c r="M238" s="97"/>
    </row>
    <row r="239" ht="15.75" customHeight="1">
      <c r="A239" s="7"/>
      <c r="B239" s="7"/>
      <c r="C239" s="7"/>
      <c r="D239" s="7"/>
      <c r="E239" s="7"/>
      <c r="F239" s="7"/>
      <c r="G239" s="67"/>
      <c r="H239" s="67"/>
      <c r="I239" s="97"/>
      <c r="J239" s="67"/>
      <c r="K239" s="7"/>
      <c r="L239" s="97"/>
      <c r="M239" s="97"/>
    </row>
    <row r="240" ht="15.75" customHeight="1">
      <c r="A240" s="7"/>
      <c r="B240" s="7"/>
      <c r="C240" s="7"/>
      <c r="D240" s="7"/>
      <c r="E240" s="7"/>
      <c r="F240" s="7"/>
      <c r="G240" s="67"/>
      <c r="H240" s="67"/>
      <c r="I240" s="97"/>
      <c r="J240" s="67"/>
      <c r="K240" s="7"/>
      <c r="L240" s="97"/>
      <c r="M240" s="97"/>
    </row>
    <row r="241" ht="15.75" customHeight="1">
      <c r="A241" s="7"/>
      <c r="B241" s="7"/>
      <c r="C241" s="7"/>
      <c r="D241" s="7"/>
      <c r="E241" s="7"/>
      <c r="F241" s="7"/>
      <c r="G241" s="67"/>
      <c r="H241" s="67"/>
      <c r="I241" s="97"/>
      <c r="J241" s="67"/>
      <c r="K241" s="7"/>
      <c r="L241" s="97"/>
      <c r="M241" s="97"/>
    </row>
    <row r="242" ht="15.75" customHeight="1">
      <c r="A242" s="7"/>
      <c r="B242" s="7"/>
      <c r="C242" s="7"/>
      <c r="D242" s="7"/>
      <c r="E242" s="7"/>
      <c r="F242" s="7"/>
      <c r="G242" s="67"/>
      <c r="H242" s="67"/>
      <c r="I242" s="97"/>
      <c r="J242" s="67"/>
      <c r="K242" s="7"/>
      <c r="L242" s="97"/>
      <c r="M242" s="97"/>
    </row>
    <row r="243" ht="15.75" customHeight="1">
      <c r="A243" s="7"/>
      <c r="B243" s="7"/>
      <c r="C243" s="7"/>
      <c r="D243" s="7"/>
      <c r="E243" s="7"/>
      <c r="F243" s="7"/>
      <c r="G243" s="67"/>
      <c r="H243" s="67"/>
      <c r="I243" s="97"/>
      <c r="J243" s="67"/>
      <c r="K243" s="7"/>
      <c r="L243" s="97"/>
      <c r="M243" s="97"/>
    </row>
    <row r="244" ht="15.75" customHeight="1">
      <c r="A244" s="7"/>
      <c r="B244" s="7"/>
      <c r="C244" s="7"/>
      <c r="D244" s="7"/>
      <c r="E244" s="7"/>
      <c r="F244" s="7"/>
      <c r="G244" s="67"/>
      <c r="H244" s="67"/>
      <c r="I244" s="97"/>
      <c r="J244" s="67"/>
      <c r="K244" s="7"/>
      <c r="L244" s="97"/>
      <c r="M244" s="97"/>
    </row>
    <row r="245" ht="15.75" customHeight="1">
      <c r="A245" s="7"/>
      <c r="B245" s="7"/>
      <c r="C245" s="7"/>
      <c r="D245" s="7"/>
      <c r="E245" s="7"/>
      <c r="F245" s="7"/>
      <c r="G245" s="67"/>
      <c r="H245" s="67"/>
      <c r="I245" s="97"/>
      <c r="J245" s="67"/>
      <c r="K245" s="7"/>
      <c r="L245" s="97"/>
      <c r="M245" s="97"/>
    </row>
    <row r="246" ht="15.75" customHeight="1">
      <c r="A246" s="7"/>
      <c r="B246" s="7"/>
      <c r="C246" s="7"/>
      <c r="D246" s="7"/>
      <c r="E246" s="7"/>
      <c r="F246" s="7"/>
      <c r="G246" s="67"/>
      <c r="H246" s="67"/>
      <c r="I246" s="97"/>
      <c r="J246" s="67"/>
      <c r="K246" s="7"/>
      <c r="L246" s="97"/>
      <c r="M246" s="97"/>
    </row>
    <row r="247" ht="15.75" customHeight="1">
      <c r="A247" s="7"/>
      <c r="B247" s="7"/>
      <c r="C247" s="7"/>
      <c r="D247" s="7"/>
      <c r="E247" s="7"/>
      <c r="F247" s="7"/>
      <c r="G247" s="67"/>
      <c r="H247" s="67"/>
      <c r="I247" s="97"/>
      <c r="J247" s="67"/>
      <c r="K247" s="7"/>
      <c r="L247" s="97"/>
      <c r="M247" s="97"/>
    </row>
    <row r="248" ht="15.75" customHeight="1">
      <c r="A248" s="7"/>
      <c r="B248" s="7"/>
      <c r="C248" s="7"/>
      <c r="D248" s="7"/>
      <c r="E248" s="7"/>
      <c r="F248" s="7"/>
      <c r="G248" s="67"/>
      <c r="H248" s="67"/>
      <c r="I248" s="97"/>
      <c r="J248" s="67"/>
      <c r="K248" s="7"/>
      <c r="L248" s="97"/>
      <c r="M248" s="97"/>
    </row>
    <row r="249" ht="15.75" customHeight="1">
      <c r="A249" s="7"/>
      <c r="B249" s="7"/>
      <c r="C249" s="7"/>
      <c r="D249" s="7"/>
      <c r="E249" s="7"/>
      <c r="F249" s="7"/>
      <c r="G249" s="67"/>
      <c r="H249" s="67"/>
      <c r="I249" s="97"/>
      <c r="J249" s="67"/>
      <c r="K249" s="7"/>
      <c r="L249" s="97"/>
      <c r="M249" s="97"/>
    </row>
    <row r="250" ht="15.75" customHeight="1">
      <c r="A250" s="7"/>
      <c r="B250" s="7"/>
      <c r="C250" s="7"/>
      <c r="D250" s="7"/>
      <c r="E250" s="7"/>
      <c r="F250" s="7"/>
      <c r="G250" s="67"/>
      <c r="H250" s="67"/>
      <c r="I250" s="97"/>
      <c r="J250" s="67"/>
      <c r="K250" s="7"/>
      <c r="L250" s="97"/>
      <c r="M250" s="97"/>
    </row>
    <row r="251" ht="15.75" customHeight="1">
      <c r="A251" s="7"/>
      <c r="B251" s="7"/>
      <c r="C251" s="7"/>
      <c r="D251" s="7"/>
      <c r="E251" s="7"/>
      <c r="F251" s="7"/>
      <c r="G251" s="67"/>
      <c r="H251" s="67"/>
      <c r="I251" s="97"/>
      <c r="J251" s="67"/>
      <c r="K251" s="7"/>
      <c r="L251" s="97"/>
      <c r="M251" s="97"/>
    </row>
    <row r="252" ht="15.75" customHeight="1">
      <c r="A252" s="7"/>
      <c r="B252" s="7"/>
      <c r="C252" s="7"/>
      <c r="D252" s="7"/>
      <c r="E252" s="7"/>
      <c r="F252" s="7"/>
      <c r="G252" s="67"/>
      <c r="H252" s="67"/>
      <c r="I252" s="97"/>
      <c r="J252" s="67"/>
      <c r="K252" s="7"/>
      <c r="L252" s="97"/>
      <c r="M252" s="97"/>
    </row>
    <row r="253" ht="15.75" customHeight="1">
      <c r="A253" s="7"/>
      <c r="B253" s="7"/>
      <c r="C253" s="7"/>
      <c r="D253" s="7"/>
      <c r="E253" s="7"/>
      <c r="F253" s="7"/>
      <c r="G253" s="67"/>
      <c r="H253" s="67"/>
      <c r="I253" s="97"/>
      <c r="J253" s="67"/>
      <c r="K253" s="7"/>
      <c r="L253" s="97"/>
      <c r="M253" s="97"/>
    </row>
    <row r="254" ht="15.75" customHeight="1">
      <c r="A254" s="7"/>
      <c r="B254" s="7"/>
      <c r="C254" s="7"/>
      <c r="D254" s="7"/>
      <c r="E254" s="7"/>
      <c r="F254" s="7"/>
      <c r="G254" s="67"/>
      <c r="H254" s="67"/>
      <c r="I254" s="97"/>
      <c r="J254" s="67"/>
      <c r="K254" s="7"/>
      <c r="L254" s="97"/>
      <c r="M254" s="97"/>
    </row>
    <row r="255" ht="15.75" customHeight="1">
      <c r="A255" s="7"/>
      <c r="B255" s="7"/>
      <c r="C255" s="7"/>
      <c r="D255" s="7"/>
      <c r="E255" s="7"/>
      <c r="F255" s="7"/>
      <c r="G255" s="67"/>
      <c r="H255" s="67"/>
      <c r="I255" s="97"/>
      <c r="J255" s="67"/>
      <c r="K255" s="7"/>
      <c r="L255" s="97"/>
      <c r="M255" s="97"/>
    </row>
    <row r="256" ht="15.75" customHeight="1">
      <c r="A256" s="7"/>
      <c r="B256" s="7"/>
      <c r="C256" s="7"/>
      <c r="D256" s="7"/>
      <c r="E256" s="7"/>
      <c r="F256" s="7"/>
      <c r="G256" s="67"/>
      <c r="H256" s="67"/>
      <c r="I256" s="97"/>
      <c r="J256" s="67"/>
      <c r="K256" s="7"/>
      <c r="L256" s="97"/>
      <c r="M256" s="97"/>
    </row>
    <row r="257" ht="15.75" customHeight="1">
      <c r="A257" s="7"/>
      <c r="B257" s="7"/>
      <c r="C257" s="7"/>
      <c r="D257" s="7"/>
      <c r="E257" s="7"/>
      <c r="F257" s="7"/>
      <c r="G257" s="67"/>
      <c r="H257" s="67"/>
      <c r="I257" s="97"/>
      <c r="J257" s="67"/>
      <c r="K257" s="7"/>
      <c r="L257" s="97"/>
      <c r="M257" s="97"/>
    </row>
    <row r="258" ht="15.75" customHeight="1">
      <c r="A258" s="7"/>
      <c r="B258" s="7"/>
      <c r="C258" s="7"/>
      <c r="D258" s="7"/>
      <c r="E258" s="7"/>
      <c r="F258" s="7"/>
      <c r="G258" s="67"/>
      <c r="H258" s="67"/>
      <c r="I258" s="97"/>
      <c r="J258" s="67"/>
      <c r="K258" s="7"/>
      <c r="L258" s="97"/>
      <c r="M258" s="97"/>
    </row>
    <row r="259" ht="15.75" customHeight="1">
      <c r="A259" s="7"/>
      <c r="B259" s="7"/>
      <c r="C259" s="7"/>
      <c r="D259" s="7"/>
      <c r="E259" s="7"/>
      <c r="F259" s="7"/>
      <c r="G259" s="67"/>
      <c r="H259" s="67"/>
      <c r="I259" s="97"/>
      <c r="J259" s="67"/>
      <c r="K259" s="7"/>
      <c r="L259" s="97"/>
      <c r="M259" s="97"/>
    </row>
    <row r="260" ht="15.75" customHeight="1">
      <c r="A260" s="7"/>
      <c r="B260" s="7"/>
      <c r="C260" s="7"/>
      <c r="D260" s="7"/>
      <c r="E260" s="7"/>
      <c r="F260" s="7"/>
      <c r="G260" s="67"/>
      <c r="H260" s="67"/>
      <c r="I260" s="97"/>
      <c r="J260" s="67"/>
      <c r="K260" s="7"/>
      <c r="L260" s="97"/>
      <c r="M260" s="97"/>
    </row>
    <row r="261" ht="15.75" customHeight="1">
      <c r="A261" s="7"/>
      <c r="B261" s="7"/>
      <c r="C261" s="7"/>
      <c r="D261" s="7"/>
      <c r="E261" s="7"/>
      <c r="F261" s="7"/>
      <c r="G261" s="67"/>
      <c r="H261" s="67"/>
      <c r="I261" s="97"/>
      <c r="J261" s="67"/>
      <c r="K261" s="7"/>
      <c r="L261" s="97"/>
      <c r="M261" s="97"/>
    </row>
    <row r="262" ht="15.75" customHeight="1">
      <c r="A262" s="7"/>
      <c r="B262" s="7"/>
      <c r="C262" s="7"/>
      <c r="D262" s="7"/>
      <c r="E262" s="7"/>
      <c r="F262" s="7"/>
      <c r="G262" s="67"/>
      <c r="H262" s="67"/>
      <c r="I262" s="97"/>
      <c r="J262" s="67"/>
      <c r="K262" s="7"/>
      <c r="L262" s="97"/>
      <c r="M262" s="97"/>
    </row>
    <row r="263" ht="15.75" customHeight="1">
      <c r="A263" s="7"/>
      <c r="B263" s="7"/>
      <c r="C263" s="7"/>
      <c r="D263" s="7"/>
      <c r="E263" s="7"/>
      <c r="F263" s="7"/>
      <c r="G263" s="67"/>
      <c r="H263" s="67"/>
      <c r="I263" s="97"/>
      <c r="J263" s="67"/>
      <c r="K263" s="7"/>
      <c r="L263" s="97"/>
      <c r="M263" s="97"/>
    </row>
    <row r="264" ht="15.75" customHeight="1">
      <c r="A264" s="7"/>
      <c r="B264" s="7"/>
      <c r="C264" s="7"/>
      <c r="D264" s="7"/>
      <c r="E264" s="7"/>
      <c r="F264" s="7"/>
      <c r="G264" s="67"/>
      <c r="H264" s="67"/>
      <c r="I264" s="97"/>
      <c r="J264" s="67"/>
      <c r="K264" s="7"/>
      <c r="L264" s="97"/>
      <c r="M264" s="97"/>
    </row>
    <row r="265" ht="15.75" customHeight="1">
      <c r="A265" s="7"/>
      <c r="B265" s="7"/>
      <c r="C265" s="7"/>
      <c r="D265" s="7"/>
      <c r="E265" s="7"/>
      <c r="F265" s="7"/>
      <c r="G265" s="67"/>
      <c r="H265" s="67"/>
      <c r="I265" s="97"/>
      <c r="J265" s="67"/>
      <c r="K265" s="7"/>
      <c r="L265" s="97"/>
      <c r="M265" s="97"/>
    </row>
    <row r="266" ht="15.75" customHeight="1">
      <c r="A266" s="7"/>
      <c r="B266" s="7"/>
      <c r="C266" s="7"/>
      <c r="D266" s="7"/>
      <c r="E266" s="7"/>
      <c r="F266" s="7"/>
      <c r="G266" s="67"/>
      <c r="H266" s="67"/>
      <c r="I266" s="97"/>
      <c r="J266" s="67"/>
      <c r="K266" s="7"/>
      <c r="L266" s="97"/>
      <c r="M266" s="97"/>
    </row>
    <row r="267" ht="15.75" customHeight="1">
      <c r="A267" s="7"/>
      <c r="B267" s="7"/>
      <c r="C267" s="7"/>
      <c r="D267" s="7"/>
      <c r="E267" s="7"/>
      <c r="F267" s="7"/>
      <c r="G267" s="67"/>
      <c r="H267" s="67"/>
      <c r="I267" s="97"/>
      <c r="J267" s="67"/>
      <c r="K267" s="7"/>
      <c r="L267" s="97"/>
      <c r="M267" s="97"/>
    </row>
    <row r="268" ht="15.75" customHeight="1">
      <c r="A268" s="7"/>
      <c r="B268" s="7"/>
      <c r="C268" s="7"/>
      <c r="D268" s="7"/>
      <c r="E268" s="7"/>
      <c r="F268" s="7"/>
      <c r="G268" s="67"/>
      <c r="H268" s="67"/>
      <c r="I268" s="97"/>
      <c r="J268" s="67"/>
      <c r="K268" s="7"/>
      <c r="L268" s="97"/>
      <c r="M268" s="97"/>
    </row>
    <row r="269" ht="15.75" customHeight="1">
      <c r="A269" s="7"/>
      <c r="B269" s="7"/>
      <c r="C269" s="7"/>
      <c r="D269" s="7"/>
      <c r="E269" s="7"/>
      <c r="F269" s="7"/>
      <c r="G269" s="67"/>
      <c r="H269" s="67"/>
      <c r="I269" s="97"/>
      <c r="J269" s="67"/>
      <c r="K269" s="7"/>
      <c r="L269" s="97"/>
      <c r="M269" s="97"/>
    </row>
    <row r="270" ht="15.75" customHeight="1">
      <c r="A270" s="7"/>
      <c r="B270" s="7"/>
      <c r="C270" s="7"/>
      <c r="D270" s="7"/>
      <c r="E270" s="7"/>
      <c r="F270" s="7"/>
      <c r="G270" s="67"/>
      <c r="H270" s="67"/>
      <c r="I270" s="97"/>
      <c r="J270" s="67"/>
      <c r="K270" s="7"/>
      <c r="L270" s="97"/>
      <c r="M270" s="97"/>
    </row>
    <row r="271" ht="15.75" customHeight="1">
      <c r="A271" s="7"/>
      <c r="B271" s="7"/>
      <c r="C271" s="7"/>
      <c r="D271" s="7"/>
      <c r="E271" s="7"/>
      <c r="F271" s="7"/>
      <c r="G271" s="67"/>
      <c r="H271" s="67"/>
      <c r="I271" s="97"/>
      <c r="J271" s="67"/>
      <c r="K271" s="7"/>
      <c r="L271" s="97"/>
      <c r="M271" s="97"/>
    </row>
    <row r="272" ht="15.75" customHeight="1">
      <c r="A272" s="7"/>
      <c r="B272" s="7"/>
      <c r="C272" s="7"/>
      <c r="D272" s="7"/>
      <c r="E272" s="7"/>
      <c r="F272" s="7"/>
      <c r="G272" s="67"/>
      <c r="H272" s="67"/>
      <c r="I272" s="97"/>
      <c r="J272" s="67"/>
      <c r="K272" s="7"/>
      <c r="L272" s="97"/>
      <c r="M272" s="97"/>
    </row>
    <row r="273" ht="15.75" customHeight="1">
      <c r="A273" s="7"/>
      <c r="B273" s="7"/>
      <c r="C273" s="7"/>
      <c r="D273" s="7"/>
      <c r="E273" s="7"/>
      <c r="F273" s="7"/>
      <c r="G273" s="67"/>
      <c r="H273" s="67"/>
      <c r="I273" s="97"/>
      <c r="J273" s="67"/>
      <c r="K273" s="7"/>
      <c r="L273" s="97"/>
      <c r="M273" s="97"/>
    </row>
    <row r="274" ht="15.75" customHeight="1">
      <c r="A274" s="7"/>
      <c r="B274" s="7"/>
      <c r="C274" s="7"/>
      <c r="D274" s="7"/>
      <c r="E274" s="7"/>
      <c r="F274" s="7"/>
      <c r="G274" s="67"/>
      <c r="H274" s="67"/>
      <c r="I274" s="97"/>
      <c r="J274" s="67"/>
      <c r="K274" s="7"/>
      <c r="L274" s="97"/>
      <c r="M274" s="97"/>
    </row>
    <row r="275" ht="15.75" customHeight="1">
      <c r="A275" s="7"/>
      <c r="B275" s="7"/>
      <c r="C275" s="7"/>
      <c r="D275" s="7"/>
      <c r="E275" s="7"/>
      <c r="F275" s="7"/>
      <c r="G275" s="67"/>
      <c r="H275" s="67"/>
      <c r="I275" s="97"/>
      <c r="J275" s="67"/>
      <c r="K275" s="7"/>
      <c r="L275" s="97"/>
      <c r="M275" s="97"/>
    </row>
    <row r="276" ht="15.75" customHeight="1">
      <c r="A276" s="7"/>
      <c r="B276" s="7"/>
      <c r="C276" s="7"/>
      <c r="D276" s="7"/>
      <c r="E276" s="7"/>
      <c r="F276" s="7"/>
      <c r="G276" s="67"/>
      <c r="H276" s="67"/>
      <c r="I276" s="97"/>
      <c r="J276" s="67"/>
      <c r="K276" s="7"/>
      <c r="L276" s="97"/>
      <c r="M276" s="97"/>
    </row>
    <row r="277" ht="15.75" customHeight="1">
      <c r="A277" s="7"/>
      <c r="B277" s="7"/>
      <c r="C277" s="7"/>
      <c r="D277" s="7"/>
      <c r="E277" s="7"/>
      <c r="F277" s="7"/>
      <c r="G277" s="67"/>
      <c r="H277" s="67"/>
      <c r="I277" s="97"/>
      <c r="J277" s="67"/>
      <c r="K277" s="7"/>
      <c r="L277" s="97"/>
      <c r="M277" s="97"/>
    </row>
    <row r="278" ht="15.75" customHeight="1">
      <c r="A278" s="7"/>
      <c r="B278" s="7"/>
      <c r="C278" s="7"/>
      <c r="D278" s="7"/>
      <c r="E278" s="7"/>
      <c r="F278" s="7"/>
      <c r="G278" s="67"/>
      <c r="H278" s="67"/>
      <c r="I278" s="97"/>
      <c r="J278" s="67"/>
      <c r="K278" s="7"/>
      <c r="L278" s="97"/>
      <c r="M278" s="97"/>
    </row>
    <row r="279" ht="15.75" customHeight="1">
      <c r="A279" s="7"/>
      <c r="B279" s="7"/>
      <c r="C279" s="7"/>
      <c r="D279" s="7"/>
      <c r="E279" s="7"/>
      <c r="F279" s="7"/>
      <c r="G279" s="67"/>
      <c r="H279" s="67"/>
      <c r="I279" s="97"/>
      <c r="J279" s="67"/>
      <c r="K279" s="7"/>
      <c r="L279" s="97"/>
      <c r="M279" s="97"/>
    </row>
    <row r="280" ht="15.75" customHeight="1">
      <c r="A280" s="7"/>
      <c r="B280" s="7"/>
      <c r="C280" s="7"/>
      <c r="D280" s="7"/>
      <c r="E280" s="7"/>
      <c r="F280" s="7"/>
      <c r="G280" s="67"/>
      <c r="H280" s="67"/>
      <c r="I280" s="97"/>
      <c r="J280" s="67"/>
      <c r="K280" s="7"/>
      <c r="L280" s="97"/>
      <c r="M280" s="97"/>
    </row>
    <row r="281" ht="15.75" customHeight="1">
      <c r="A281" s="7"/>
      <c r="B281" s="7"/>
      <c r="C281" s="7"/>
      <c r="D281" s="7"/>
      <c r="E281" s="7"/>
      <c r="F281" s="7"/>
      <c r="G281" s="67"/>
      <c r="H281" s="67"/>
      <c r="I281" s="97"/>
      <c r="J281" s="67"/>
      <c r="K281" s="7"/>
      <c r="L281" s="97"/>
      <c r="M281" s="97"/>
    </row>
    <row r="282" ht="15.75" customHeight="1">
      <c r="A282" s="7"/>
      <c r="B282" s="7"/>
      <c r="C282" s="7"/>
      <c r="D282" s="7"/>
      <c r="E282" s="7"/>
      <c r="F282" s="7"/>
      <c r="G282" s="67"/>
      <c r="H282" s="67"/>
      <c r="I282" s="97"/>
      <c r="J282" s="67"/>
      <c r="K282" s="7"/>
      <c r="L282" s="97"/>
      <c r="M282" s="97"/>
    </row>
    <row r="283" ht="15.75" customHeight="1">
      <c r="A283" s="7"/>
      <c r="B283" s="7"/>
      <c r="C283" s="7"/>
      <c r="D283" s="7"/>
      <c r="E283" s="7"/>
      <c r="F283" s="7"/>
      <c r="G283" s="67"/>
      <c r="H283" s="67"/>
      <c r="I283" s="97"/>
      <c r="J283" s="67"/>
      <c r="K283" s="7"/>
      <c r="L283" s="97"/>
      <c r="M283" s="97"/>
    </row>
    <row r="284" ht="15.75" customHeight="1">
      <c r="A284" s="7"/>
      <c r="B284" s="7"/>
      <c r="C284" s="7"/>
      <c r="D284" s="7"/>
      <c r="E284" s="7"/>
      <c r="F284" s="7"/>
      <c r="G284" s="67"/>
      <c r="H284" s="67"/>
      <c r="I284" s="97"/>
      <c r="J284" s="67"/>
      <c r="K284" s="7"/>
      <c r="L284" s="97"/>
      <c r="M284" s="97"/>
    </row>
    <row r="285" ht="15.75" customHeight="1">
      <c r="A285" s="7"/>
      <c r="B285" s="7"/>
      <c r="C285" s="7"/>
      <c r="D285" s="7"/>
      <c r="E285" s="7"/>
      <c r="F285" s="7"/>
      <c r="G285" s="67"/>
      <c r="H285" s="67"/>
      <c r="I285" s="97"/>
      <c r="J285" s="67"/>
      <c r="K285" s="7"/>
      <c r="L285" s="97"/>
      <c r="M285" s="97"/>
    </row>
    <row r="286" ht="15.75" customHeight="1">
      <c r="A286" s="7"/>
      <c r="B286" s="7"/>
      <c r="C286" s="7"/>
      <c r="D286" s="7"/>
      <c r="E286" s="7"/>
      <c r="F286" s="7"/>
      <c r="G286" s="67"/>
      <c r="H286" s="67"/>
      <c r="I286" s="97"/>
      <c r="J286" s="67"/>
      <c r="K286" s="7"/>
      <c r="L286" s="97"/>
      <c r="M286" s="97"/>
    </row>
    <row r="287" ht="15.75" customHeight="1">
      <c r="A287" s="7"/>
      <c r="B287" s="7"/>
      <c r="C287" s="7"/>
      <c r="D287" s="7"/>
      <c r="E287" s="7"/>
      <c r="F287" s="7"/>
      <c r="G287" s="67"/>
      <c r="H287" s="67"/>
      <c r="I287" s="97"/>
      <c r="J287" s="67"/>
      <c r="K287" s="7"/>
      <c r="L287" s="97"/>
      <c r="M287" s="97"/>
    </row>
    <row r="288" ht="15.75" customHeight="1">
      <c r="A288" s="7"/>
      <c r="B288" s="7"/>
      <c r="C288" s="7"/>
      <c r="D288" s="7"/>
      <c r="E288" s="7"/>
      <c r="F288" s="7"/>
      <c r="G288" s="67"/>
      <c r="H288" s="67"/>
      <c r="I288" s="97"/>
      <c r="J288" s="67"/>
      <c r="K288" s="7"/>
      <c r="L288" s="97"/>
      <c r="M288" s="97"/>
    </row>
    <row r="289" ht="15.75" customHeight="1">
      <c r="A289" s="7"/>
      <c r="B289" s="7"/>
      <c r="C289" s="7"/>
      <c r="D289" s="7"/>
      <c r="E289" s="7"/>
      <c r="F289" s="7"/>
      <c r="G289" s="67"/>
      <c r="H289" s="67"/>
      <c r="I289" s="97"/>
      <c r="J289" s="67"/>
      <c r="K289" s="7"/>
      <c r="L289" s="97"/>
      <c r="M289" s="97"/>
    </row>
    <row r="290" ht="15.75" customHeight="1">
      <c r="A290" s="7"/>
      <c r="B290" s="7"/>
      <c r="C290" s="7"/>
      <c r="D290" s="7"/>
      <c r="E290" s="7"/>
      <c r="F290" s="7"/>
      <c r="G290" s="67"/>
      <c r="H290" s="67"/>
      <c r="I290" s="97"/>
      <c r="J290" s="67"/>
      <c r="K290" s="7"/>
      <c r="L290" s="97"/>
      <c r="M290" s="97"/>
    </row>
    <row r="291" ht="15.75" customHeight="1">
      <c r="A291" s="7"/>
      <c r="B291" s="7"/>
      <c r="C291" s="7"/>
      <c r="D291" s="7"/>
      <c r="E291" s="7"/>
      <c r="F291" s="7"/>
      <c r="G291" s="67"/>
      <c r="H291" s="67"/>
      <c r="I291" s="97"/>
      <c r="J291" s="67"/>
      <c r="K291" s="7"/>
      <c r="L291" s="97"/>
      <c r="M291" s="97"/>
    </row>
    <row r="292" ht="15.75" customHeight="1">
      <c r="A292" s="7"/>
      <c r="B292" s="7"/>
      <c r="C292" s="7"/>
      <c r="D292" s="7"/>
      <c r="E292" s="7"/>
      <c r="F292" s="7"/>
      <c r="G292" s="67"/>
      <c r="H292" s="67"/>
      <c r="I292" s="97"/>
      <c r="J292" s="67"/>
      <c r="K292" s="7"/>
      <c r="L292" s="97"/>
      <c r="M292" s="97"/>
    </row>
    <row r="293" ht="15.75" customHeight="1">
      <c r="A293" s="7"/>
      <c r="B293" s="7"/>
      <c r="C293" s="7"/>
      <c r="D293" s="7"/>
      <c r="E293" s="7"/>
      <c r="F293" s="7"/>
      <c r="G293" s="67"/>
      <c r="H293" s="67"/>
      <c r="I293" s="97"/>
      <c r="J293" s="67"/>
      <c r="K293" s="7"/>
      <c r="L293" s="97"/>
      <c r="M293" s="97"/>
    </row>
    <row r="294" ht="15.75" customHeight="1">
      <c r="A294" s="7"/>
      <c r="B294" s="7"/>
      <c r="C294" s="7"/>
      <c r="D294" s="7"/>
      <c r="E294" s="7"/>
      <c r="F294" s="7"/>
      <c r="G294" s="67"/>
      <c r="H294" s="67"/>
      <c r="I294" s="97"/>
      <c r="J294" s="67"/>
      <c r="K294" s="7"/>
      <c r="L294" s="97"/>
      <c r="M294" s="97"/>
    </row>
    <row r="295" ht="15.75" customHeight="1">
      <c r="A295" s="7"/>
      <c r="B295" s="7"/>
      <c r="C295" s="7"/>
      <c r="D295" s="7"/>
      <c r="E295" s="7"/>
      <c r="F295" s="7"/>
      <c r="G295" s="67"/>
      <c r="H295" s="67"/>
      <c r="I295" s="97"/>
      <c r="J295" s="67"/>
      <c r="K295" s="7"/>
      <c r="L295" s="97"/>
      <c r="M295" s="97"/>
    </row>
    <row r="296" ht="15.75" customHeight="1">
      <c r="A296" s="7"/>
      <c r="B296" s="7"/>
      <c r="C296" s="7"/>
      <c r="D296" s="7"/>
      <c r="E296" s="7"/>
      <c r="F296" s="7"/>
      <c r="G296" s="67"/>
      <c r="H296" s="67"/>
      <c r="I296" s="97"/>
      <c r="J296" s="67"/>
      <c r="K296" s="7"/>
      <c r="L296" s="97"/>
      <c r="M296" s="97"/>
    </row>
    <row r="297" ht="15.75" customHeight="1">
      <c r="A297" s="7"/>
      <c r="B297" s="7"/>
      <c r="C297" s="7"/>
      <c r="D297" s="7"/>
      <c r="E297" s="7"/>
      <c r="F297" s="7"/>
      <c r="G297" s="67"/>
      <c r="H297" s="67"/>
      <c r="I297" s="97"/>
      <c r="J297" s="67"/>
      <c r="K297" s="7"/>
      <c r="L297" s="97"/>
      <c r="M297" s="97"/>
    </row>
    <row r="298" ht="15.75" customHeight="1">
      <c r="A298" s="7"/>
      <c r="B298" s="7"/>
      <c r="C298" s="7"/>
      <c r="D298" s="7"/>
      <c r="E298" s="7"/>
      <c r="F298" s="7"/>
      <c r="G298" s="67"/>
      <c r="H298" s="67"/>
      <c r="I298" s="97"/>
      <c r="J298" s="67"/>
      <c r="K298" s="7"/>
      <c r="L298" s="97"/>
      <c r="M298" s="97"/>
    </row>
    <row r="299" ht="15.75" customHeight="1">
      <c r="A299" s="7"/>
      <c r="B299" s="7"/>
      <c r="C299" s="7"/>
      <c r="D299" s="7"/>
      <c r="E299" s="7"/>
      <c r="F299" s="7"/>
      <c r="G299" s="67"/>
      <c r="H299" s="67"/>
      <c r="I299" s="97"/>
      <c r="J299" s="67"/>
      <c r="K299" s="7"/>
      <c r="L299" s="97"/>
      <c r="M299" s="97"/>
    </row>
    <row r="300" ht="15.75" customHeight="1">
      <c r="A300" s="7"/>
      <c r="B300" s="7"/>
      <c r="C300" s="7"/>
      <c r="D300" s="7"/>
      <c r="E300" s="7"/>
      <c r="F300" s="7"/>
      <c r="G300" s="67"/>
      <c r="H300" s="67"/>
      <c r="I300" s="97"/>
      <c r="J300" s="67"/>
      <c r="K300" s="7"/>
      <c r="L300" s="97"/>
      <c r="M300" s="97"/>
    </row>
    <row r="301" ht="15.75" customHeight="1">
      <c r="A301" s="7"/>
      <c r="B301" s="7"/>
      <c r="C301" s="7"/>
      <c r="D301" s="7"/>
      <c r="E301" s="7"/>
      <c r="F301" s="7"/>
      <c r="G301" s="67"/>
      <c r="H301" s="67"/>
      <c r="I301" s="97"/>
      <c r="J301" s="67"/>
      <c r="K301" s="7"/>
      <c r="L301" s="97"/>
      <c r="M301" s="97"/>
    </row>
    <row r="302" ht="15.75" customHeight="1">
      <c r="A302" s="7"/>
      <c r="B302" s="7"/>
      <c r="C302" s="7"/>
      <c r="D302" s="7"/>
      <c r="E302" s="7"/>
      <c r="F302" s="7"/>
      <c r="G302" s="67"/>
      <c r="H302" s="67"/>
      <c r="I302" s="97"/>
      <c r="J302" s="67"/>
      <c r="K302" s="7"/>
      <c r="L302" s="97"/>
      <c r="M302" s="97"/>
    </row>
    <row r="303" ht="15.75" customHeight="1">
      <c r="A303" s="7"/>
      <c r="B303" s="7"/>
      <c r="C303" s="7"/>
      <c r="D303" s="7"/>
      <c r="E303" s="7"/>
      <c r="F303" s="7"/>
      <c r="G303" s="67"/>
      <c r="H303" s="67"/>
      <c r="I303" s="97"/>
      <c r="J303" s="67"/>
      <c r="K303" s="7"/>
      <c r="L303" s="97"/>
      <c r="M303" s="97"/>
    </row>
    <row r="304" ht="15.75" customHeight="1">
      <c r="A304" s="7"/>
      <c r="B304" s="7"/>
      <c r="C304" s="7"/>
      <c r="D304" s="7"/>
      <c r="E304" s="7"/>
      <c r="F304" s="7"/>
      <c r="G304" s="67"/>
      <c r="H304" s="67"/>
      <c r="I304" s="97"/>
      <c r="J304" s="67"/>
      <c r="K304" s="7"/>
      <c r="L304" s="97"/>
      <c r="M304" s="9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</row>
  </sheetData>
  <mergeCells count="7">
    <mergeCell ref="A1:M1"/>
    <mergeCell ref="A14:M14"/>
    <mergeCell ref="A27:M27"/>
    <mergeCell ref="A42:M42"/>
    <mergeCell ref="A58:M58"/>
    <mergeCell ref="A74:M74"/>
    <mergeCell ref="A90:M90"/>
  </mergeCells>
  <printOptions/>
  <pageMargins bottom="1.0" footer="0.0" header="0.0" left="0.75" right="0.75" top="1.0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0"/>
    <col customWidth="1" min="2" max="2" width="12.38"/>
    <col customWidth="1" hidden="1" min="3" max="3" width="12.63"/>
    <col customWidth="1" min="4" max="4" width="11.25"/>
    <col customWidth="1" min="5" max="5" width="10.88"/>
    <col customWidth="1" min="6" max="6" width="8.88"/>
    <col customWidth="1" min="7" max="7" width="9.88"/>
    <col customWidth="1" min="8" max="8" width="9.75"/>
    <col customWidth="1" min="9" max="9" width="8.63"/>
    <col customWidth="1" min="10" max="11" width="9.13"/>
    <col customWidth="1" min="12" max="12" width="10.0"/>
    <col customWidth="1" hidden="1" min="13" max="13" width="9.0" outlineLevel="1"/>
    <col customWidth="1" hidden="1" min="14" max="17" width="9.38" outlineLevel="1"/>
    <col customWidth="1" hidden="1" min="18" max="19" width="10.63" outlineLevel="1"/>
    <col customWidth="1" min="24" max="24" width="18.5"/>
    <col customWidth="1" min="27" max="27" width="15.63"/>
    <col customWidth="1" min="29" max="29" width="14.5"/>
  </cols>
  <sheetData>
    <row r="1" ht="24.75" customHeight="1">
      <c r="A1" s="165"/>
      <c r="I1" s="166"/>
      <c r="J1" s="167"/>
      <c r="K1" s="168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</row>
    <row r="2" ht="38.25" customHeight="1">
      <c r="A2" s="169"/>
      <c r="B2" s="170" t="s">
        <v>45</v>
      </c>
      <c r="C2" s="171"/>
      <c r="D2" s="171"/>
      <c r="E2" s="172"/>
      <c r="F2" s="169"/>
      <c r="G2" s="173"/>
      <c r="H2" s="174"/>
      <c r="I2" s="175" t="s">
        <v>104</v>
      </c>
      <c r="J2" s="176"/>
      <c r="K2" s="176"/>
      <c r="L2" s="177"/>
      <c r="M2" s="178" t="s">
        <v>106</v>
      </c>
      <c r="N2" s="176"/>
      <c r="O2" s="177"/>
      <c r="P2" s="179"/>
      <c r="Q2" s="178" t="s">
        <v>108</v>
      </c>
      <c r="R2" s="176"/>
      <c r="S2" s="177"/>
      <c r="T2" s="180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</row>
    <row r="3" ht="52.5" customHeight="1">
      <c r="A3" s="181" t="s">
        <v>118</v>
      </c>
      <c r="B3" s="181" t="s">
        <v>119</v>
      </c>
      <c r="C3" s="181" t="s">
        <v>120</v>
      </c>
      <c r="D3" s="181" t="s">
        <v>121</v>
      </c>
      <c r="E3" s="181" t="s">
        <v>122</v>
      </c>
      <c r="F3" s="181" t="s">
        <v>123</v>
      </c>
      <c r="G3" s="182" t="s">
        <v>124</v>
      </c>
      <c r="H3" s="183" t="s">
        <v>125</v>
      </c>
      <c r="I3" s="184" t="s">
        <v>126</v>
      </c>
      <c r="J3" s="185" t="s">
        <v>127</v>
      </c>
      <c r="K3" s="185" t="s">
        <v>128</v>
      </c>
      <c r="L3" s="186" t="s">
        <v>129</v>
      </c>
      <c r="M3" s="187" t="s">
        <v>126</v>
      </c>
      <c r="N3" s="188" t="s">
        <v>127</v>
      </c>
      <c r="O3" s="188" t="s">
        <v>128</v>
      </c>
      <c r="P3" s="189" t="s">
        <v>129</v>
      </c>
      <c r="Q3" s="188" t="s">
        <v>126</v>
      </c>
      <c r="R3" s="188" t="s">
        <v>127</v>
      </c>
      <c r="S3" s="189" t="s">
        <v>130</v>
      </c>
      <c r="T3" s="180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</row>
    <row r="4" ht="15.75" customHeight="1">
      <c r="A4" s="190" t="s">
        <v>34</v>
      </c>
      <c r="B4" s="191"/>
      <c r="C4" s="192">
        <v>0.0</v>
      </c>
      <c r="D4" s="193"/>
      <c r="E4" s="194">
        <f>CONTROLE!D4</f>
        <v>394</v>
      </c>
      <c r="F4" s="193">
        <f t="shared" ref="F4:F10" si="1">D4+E4</f>
        <v>394</v>
      </c>
      <c r="G4" s="193"/>
      <c r="H4" s="193">
        <f t="shared" ref="H4:H10" si="2">SUM(F4:G4)</f>
        <v>394</v>
      </c>
      <c r="I4" s="195">
        <f>802/35</f>
        <v>22.91428571</v>
      </c>
      <c r="J4" s="196">
        <f>'REFERENCIA PML'!C3</f>
        <v>25.57</v>
      </c>
      <c r="K4" s="197">
        <f>430/802</f>
        <v>0.536159601</v>
      </c>
      <c r="L4" s="198">
        <f>'REFERENCIA PML'!E3</f>
        <v>23.87</v>
      </c>
      <c r="M4" s="199" t="s">
        <v>131</v>
      </c>
      <c r="N4" s="200"/>
      <c r="O4" s="200">
        <v>0.0032</v>
      </c>
      <c r="P4" s="201"/>
      <c r="Q4" s="201" t="s">
        <v>132</v>
      </c>
      <c r="R4" s="201"/>
      <c r="S4" s="202" t="s">
        <v>132</v>
      </c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</row>
    <row r="5" ht="15.75" customHeight="1">
      <c r="A5" s="203" t="s">
        <v>91</v>
      </c>
      <c r="B5" s="204"/>
      <c r="C5" s="205"/>
      <c r="D5" s="206">
        <f>CONTROLE!J17</f>
        <v>10</v>
      </c>
      <c r="E5" s="205"/>
      <c r="F5" s="206">
        <f t="shared" si="1"/>
        <v>10</v>
      </c>
      <c r="G5" s="206"/>
      <c r="H5" s="206">
        <f t="shared" si="2"/>
        <v>10</v>
      </c>
      <c r="I5" s="207">
        <f> 82/ 2</f>
        <v>41</v>
      </c>
      <c r="J5" s="208">
        <f>'REFERENCIA PML'!C4</f>
        <v>22.88</v>
      </c>
      <c r="K5" s="209">
        <f>82/82</f>
        <v>1</v>
      </c>
      <c r="L5" s="210">
        <f>'REFERENCIA PML'!E4</f>
        <v>33.93</v>
      </c>
      <c r="M5" s="211" t="s">
        <v>133</v>
      </c>
      <c r="N5" s="212"/>
      <c r="O5" s="212">
        <v>0.0</v>
      </c>
      <c r="P5" s="213"/>
      <c r="Q5" s="213" t="s">
        <v>134</v>
      </c>
      <c r="R5" s="213"/>
      <c r="S5" s="214" t="s">
        <v>134</v>
      </c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</row>
    <row r="6" ht="15.75" customHeight="1">
      <c r="A6" s="215" t="s">
        <v>98</v>
      </c>
      <c r="B6" s="216">
        <f>CONTROLE!I30</f>
        <v>1</v>
      </c>
      <c r="C6" s="217"/>
      <c r="D6" s="218">
        <f>CONTROLE!E30</f>
        <v>10</v>
      </c>
      <c r="E6" s="218">
        <f>CONTROLE!D30</f>
        <v>449</v>
      </c>
      <c r="F6" s="218">
        <f t="shared" si="1"/>
        <v>459</v>
      </c>
      <c r="G6" s="218">
        <v>300.0</v>
      </c>
      <c r="H6" s="218">
        <f t="shared" si="2"/>
        <v>759</v>
      </c>
      <c r="I6" s="219" t="s">
        <v>135</v>
      </c>
      <c r="J6" s="196">
        <f>'REFERENCIA PML'!C5</f>
        <v>26.06</v>
      </c>
      <c r="K6" s="220">
        <v>0.035</v>
      </c>
      <c r="L6" s="198">
        <f>'REFERENCIA PML'!E5</f>
        <v>30.84</v>
      </c>
      <c r="M6" s="221" t="s">
        <v>136</v>
      </c>
      <c r="N6" s="222"/>
      <c r="O6" s="222">
        <v>0.0</v>
      </c>
      <c r="P6" s="223"/>
      <c r="Q6" s="223" t="s">
        <v>137</v>
      </c>
      <c r="R6" s="222"/>
      <c r="S6" s="224">
        <v>0.0</v>
      </c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</row>
    <row r="7" ht="15.75" customHeight="1">
      <c r="A7" s="203" t="s">
        <v>103</v>
      </c>
      <c r="B7" s="204">
        <f>CONTROLE!I45</f>
        <v>0</v>
      </c>
      <c r="C7" s="205"/>
      <c r="D7" s="206">
        <f>CONTROLE!E45</f>
        <v>0</v>
      </c>
      <c r="E7" s="206">
        <f>CONTROLE!D45</f>
        <v>338</v>
      </c>
      <c r="F7" s="206">
        <f t="shared" si="1"/>
        <v>338</v>
      </c>
      <c r="G7" s="206">
        <v>300.0</v>
      </c>
      <c r="H7" s="206">
        <f t="shared" si="2"/>
        <v>638</v>
      </c>
      <c r="I7" s="225">
        <v>36.0</v>
      </c>
      <c r="J7" s="226">
        <f>'REFERENCIA PML'!C6</f>
        <v>23.91</v>
      </c>
      <c r="K7" s="227">
        <v>0.0</v>
      </c>
      <c r="L7" s="228">
        <f>'REFERENCIA PML'!E6</f>
        <v>30.52</v>
      </c>
      <c r="M7" s="229">
        <v>21.0</v>
      </c>
      <c r="N7" s="230"/>
      <c r="O7" s="231"/>
      <c r="P7" s="230"/>
      <c r="Q7" s="230"/>
      <c r="R7" s="230"/>
      <c r="S7" s="232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</row>
    <row r="8" ht="15.75" customHeight="1">
      <c r="A8" s="190" t="s">
        <v>110</v>
      </c>
      <c r="B8" s="191">
        <v>0.0</v>
      </c>
      <c r="C8" s="192"/>
      <c r="D8" s="193">
        <v>0.0</v>
      </c>
      <c r="E8" s="193">
        <f>CONTROLE!D61</f>
        <v>421</v>
      </c>
      <c r="F8" s="193">
        <f t="shared" si="1"/>
        <v>421</v>
      </c>
      <c r="G8" s="193">
        <f>CONTROLE!G61</f>
        <v>300</v>
      </c>
      <c r="H8" s="193">
        <f t="shared" si="2"/>
        <v>721</v>
      </c>
      <c r="I8" s="233">
        <f>37/2</f>
        <v>18.5</v>
      </c>
      <c r="J8" s="196">
        <f>'REFERENCIA PML'!C7</f>
        <v>26.95</v>
      </c>
      <c r="K8" s="234">
        <v>0.0</v>
      </c>
      <c r="L8" s="198">
        <f>'REFERENCIA PML'!E7</f>
        <v>33.85</v>
      </c>
      <c r="M8" s="235"/>
      <c r="N8" s="236"/>
      <c r="O8" s="237"/>
      <c r="P8" s="237"/>
      <c r="Q8" s="237"/>
      <c r="R8" s="236"/>
      <c r="S8" s="238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</row>
    <row r="9" ht="15.75" customHeight="1">
      <c r="A9" s="239" t="s">
        <v>138</v>
      </c>
      <c r="B9" s="240">
        <v>0.0</v>
      </c>
      <c r="C9" s="241"/>
      <c r="D9" s="242">
        <v>0.0</v>
      </c>
      <c r="E9" s="242">
        <f>0</f>
        <v>0</v>
      </c>
      <c r="F9" s="242">
        <f t="shared" si="1"/>
        <v>0</v>
      </c>
      <c r="G9" s="243">
        <v>80.0</v>
      </c>
      <c r="H9" s="243">
        <f t="shared" si="2"/>
        <v>80</v>
      </c>
      <c r="I9" s="244"/>
      <c r="J9" s="245"/>
      <c r="K9" s="246"/>
      <c r="L9" s="247"/>
      <c r="M9" s="248"/>
      <c r="N9" s="249"/>
      <c r="O9" s="249"/>
      <c r="P9" s="249"/>
      <c r="Q9" s="249"/>
      <c r="R9" s="249"/>
      <c r="S9" s="250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</row>
    <row r="10" ht="15.75" customHeight="1">
      <c r="A10" s="190" t="s">
        <v>139</v>
      </c>
      <c r="B10" s="191">
        <f>CONTROLE!I93</f>
        <v>0</v>
      </c>
      <c r="C10" s="192"/>
      <c r="D10" s="193">
        <f>CONTROLE!E93</f>
        <v>0</v>
      </c>
      <c r="E10" s="193">
        <f>CONTROLE!D93</f>
        <v>0</v>
      </c>
      <c r="F10" s="193">
        <f t="shared" si="1"/>
        <v>0</v>
      </c>
      <c r="G10" s="193">
        <v>0.0</v>
      </c>
      <c r="H10" s="193">
        <f t="shared" si="2"/>
        <v>0</v>
      </c>
      <c r="I10" s="251" t="s">
        <v>134</v>
      </c>
      <c r="J10" s="252" t="s">
        <v>134</v>
      </c>
      <c r="K10" s="234" t="s">
        <v>134</v>
      </c>
      <c r="L10" s="253" t="s">
        <v>134</v>
      </c>
      <c r="M10" s="254" t="s">
        <v>134</v>
      </c>
      <c r="N10" s="201" t="s">
        <v>134</v>
      </c>
      <c r="O10" s="201" t="s">
        <v>134</v>
      </c>
      <c r="P10" s="201" t="s">
        <v>134</v>
      </c>
      <c r="Q10" s="201" t="s">
        <v>134</v>
      </c>
      <c r="R10" s="201" t="s">
        <v>134</v>
      </c>
      <c r="S10" s="202" t="s">
        <v>134</v>
      </c>
      <c r="T10" s="166" t="s">
        <v>140</v>
      </c>
      <c r="U10" s="166"/>
      <c r="V10" s="166"/>
      <c r="W10" s="166"/>
      <c r="X10" s="166"/>
      <c r="Y10" s="166"/>
      <c r="Z10" s="166"/>
      <c r="AA10" s="166"/>
      <c r="AB10" s="166"/>
      <c r="AC10" s="166"/>
      <c r="AD10" s="166"/>
      <c r="AE10" s="166"/>
    </row>
    <row r="11" ht="15.75" customHeight="1">
      <c r="A11" s="203" t="s">
        <v>141</v>
      </c>
      <c r="B11" s="205"/>
      <c r="C11" s="205"/>
      <c r="D11" s="205"/>
      <c r="E11" s="205"/>
      <c r="F11" s="205"/>
      <c r="G11" s="206"/>
      <c r="H11" s="205"/>
      <c r="I11" s="244"/>
      <c r="J11" s="245"/>
      <c r="K11" s="246"/>
      <c r="L11" s="247"/>
      <c r="M11" s="248"/>
      <c r="N11" s="249"/>
      <c r="O11" s="249"/>
      <c r="P11" s="249"/>
      <c r="Q11" s="249"/>
      <c r="R11" s="249"/>
      <c r="S11" s="250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</row>
    <row r="12" ht="15.75" customHeight="1">
      <c r="A12" s="190" t="s">
        <v>142</v>
      </c>
      <c r="B12" s="192"/>
      <c r="C12" s="192"/>
      <c r="D12" s="192"/>
      <c r="E12" s="192"/>
      <c r="F12" s="192"/>
      <c r="G12" s="193"/>
      <c r="H12" s="192"/>
      <c r="I12" s="251"/>
      <c r="J12" s="252"/>
      <c r="K12" s="234"/>
      <c r="L12" s="253"/>
      <c r="M12" s="254"/>
      <c r="N12" s="201"/>
      <c r="O12" s="201"/>
      <c r="P12" s="201"/>
      <c r="Q12" s="201"/>
      <c r="R12" s="201"/>
      <c r="S12" s="202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</row>
    <row r="13" ht="15.75" customHeight="1">
      <c r="A13" s="203" t="s">
        <v>143</v>
      </c>
      <c r="B13" s="205"/>
      <c r="C13" s="205"/>
      <c r="D13" s="205"/>
      <c r="E13" s="205"/>
      <c r="F13" s="205"/>
      <c r="G13" s="206"/>
      <c r="H13" s="205"/>
      <c r="I13" s="244"/>
      <c r="J13" s="245"/>
      <c r="K13" s="246"/>
      <c r="L13" s="247"/>
      <c r="M13" s="248"/>
      <c r="N13" s="249"/>
      <c r="O13" s="249"/>
      <c r="P13" s="249"/>
      <c r="Q13" s="249"/>
      <c r="R13" s="249"/>
      <c r="S13" s="250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</row>
    <row r="14" ht="15.75" customHeight="1">
      <c r="A14" s="255" t="s">
        <v>144</v>
      </c>
      <c r="B14" s="256"/>
      <c r="C14" s="256"/>
      <c r="D14" s="256"/>
      <c r="E14" s="256"/>
      <c r="F14" s="256"/>
      <c r="G14" s="257"/>
      <c r="H14" s="256"/>
      <c r="I14" s="258"/>
      <c r="J14" s="259"/>
      <c r="K14" s="260"/>
      <c r="L14" s="261"/>
      <c r="M14" s="262"/>
      <c r="N14" s="263"/>
      <c r="O14" s="263"/>
      <c r="P14" s="263"/>
      <c r="Q14" s="263"/>
      <c r="R14" s="263"/>
      <c r="S14" s="264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  <c r="AE14" s="166"/>
    </row>
    <row r="15" ht="15.75" customHeight="1">
      <c r="A15" s="203" t="s">
        <v>145</v>
      </c>
      <c r="B15" s="205"/>
      <c r="C15" s="205"/>
      <c r="D15" s="205"/>
      <c r="E15" s="205"/>
      <c r="F15" s="205"/>
      <c r="G15" s="206"/>
      <c r="H15" s="205"/>
      <c r="I15" s="265"/>
      <c r="J15" s="266"/>
      <c r="K15" s="267"/>
      <c r="L15" s="268"/>
      <c r="M15" s="269"/>
      <c r="N15" s="269"/>
      <c r="O15" s="269"/>
      <c r="P15" s="269"/>
      <c r="Q15" s="269"/>
      <c r="R15" s="269"/>
      <c r="S15" s="270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  <c r="AD15" s="166"/>
      <c r="AE15" s="166"/>
    </row>
    <row r="16" ht="15.75" customHeight="1">
      <c r="A16" s="190"/>
      <c r="B16" s="190"/>
      <c r="C16" s="190"/>
      <c r="D16" s="190"/>
      <c r="E16" s="190"/>
      <c r="F16" s="192"/>
      <c r="G16" s="271"/>
      <c r="H16" s="7"/>
      <c r="I16" s="68"/>
      <c r="J16" s="271"/>
      <c r="K16" s="234"/>
      <c r="L16" s="190"/>
      <c r="M16" s="190"/>
      <c r="N16" s="190"/>
      <c r="O16" s="190"/>
      <c r="P16" s="190"/>
      <c r="Q16" s="190"/>
      <c r="R16" s="190"/>
      <c r="S16" s="190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</row>
    <row r="17" ht="15.75" customHeight="1">
      <c r="A17" s="166"/>
      <c r="B17" s="166"/>
      <c r="C17" s="166"/>
      <c r="D17" s="166"/>
      <c r="E17" s="166"/>
      <c r="F17" s="166"/>
      <c r="G17" s="272"/>
      <c r="H17" s="166"/>
      <c r="I17" s="273"/>
      <c r="J17" s="7"/>
      <c r="K17" s="168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</row>
    <row r="18" ht="15.75" customHeight="1">
      <c r="A18" s="166"/>
      <c r="B18" s="166"/>
      <c r="C18" s="166"/>
      <c r="D18" s="166"/>
      <c r="E18" s="166"/>
      <c r="F18" s="272"/>
      <c r="G18" s="166"/>
      <c r="H18" s="166"/>
      <c r="I18" s="166"/>
      <c r="J18" s="167"/>
      <c r="K18" s="168"/>
      <c r="L18" s="166"/>
      <c r="M18" s="166"/>
      <c r="N18" s="281"/>
      <c r="O18" s="281"/>
      <c r="P18" s="281"/>
      <c r="Q18" s="281"/>
      <c r="R18" s="281"/>
      <c r="S18" s="281"/>
      <c r="T18" s="166"/>
      <c r="U18" s="281"/>
      <c r="V18" s="166"/>
      <c r="W18" s="166"/>
      <c r="X18" s="166"/>
      <c r="Y18" s="166"/>
      <c r="Z18" s="166"/>
      <c r="AA18" s="166"/>
      <c r="AB18" s="272"/>
      <c r="AC18" s="166"/>
      <c r="AD18" s="166"/>
      <c r="AE18" s="166"/>
    </row>
    <row r="19" ht="15.75" customHeight="1">
      <c r="A19" s="166"/>
      <c r="B19" s="166"/>
      <c r="C19" s="284"/>
      <c r="D19" s="284"/>
      <c r="E19" s="284"/>
      <c r="F19" s="272"/>
      <c r="G19" s="166"/>
      <c r="H19" s="273"/>
      <c r="I19" s="273"/>
      <c r="J19" s="167"/>
      <c r="K19" s="168"/>
      <c r="L19" s="166"/>
      <c r="M19" s="166"/>
      <c r="N19" s="281"/>
      <c r="O19" s="281"/>
      <c r="P19" s="281"/>
      <c r="Q19" s="281"/>
      <c r="R19" s="281"/>
      <c r="S19" s="281"/>
      <c r="T19" s="166"/>
      <c r="U19" s="281"/>
      <c r="V19" s="166"/>
      <c r="W19" s="166"/>
      <c r="X19" s="166"/>
      <c r="Y19" s="166"/>
      <c r="Z19" s="166"/>
      <c r="AA19" s="273"/>
      <c r="AB19" s="272"/>
      <c r="AC19" s="273"/>
      <c r="AD19" s="273"/>
      <c r="AE19" s="166"/>
    </row>
    <row r="20" ht="15.75" customHeight="1">
      <c r="A20" s="166"/>
      <c r="B20" s="166"/>
      <c r="C20" s="166"/>
      <c r="D20" s="166"/>
      <c r="E20" s="166"/>
      <c r="F20" s="166"/>
      <c r="G20" s="272"/>
      <c r="H20" s="166"/>
      <c r="I20" s="166"/>
      <c r="J20" s="167"/>
      <c r="K20" s="168"/>
      <c r="L20" s="166"/>
      <c r="M20" s="166"/>
      <c r="N20" s="281"/>
      <c r="O20" s="281"/>
      <c r="P20" s="281"/>
      <c r="Q20" s="281"/>
      <c r="R20" s="281"/>
      <c r="S20" s="281"/>
      <c r="T20" s="281"/>
      <c r="U20" s="281"/>
      <c r="V20" s="166"/>
      <c r="W20" s="166"/>
      <c r="X20" s="166"/>
      <c r="Y20" s="166"/>
      <c r="Z20" s="166"/>
      <c r="AA20" s="273"/>
      <c r="AB20" s="272"/>
      <c r="AC20" s="273"/>
      <c r="AD20" s="273"/>
      <c r="AE20" s="166"/>
    </row>
    <row r="21" ht="15.75" customHeight="1">
      <c r="A21" s="166"/>
      <c r="B21" s="166"/>
      <c r="C21" s="166"/>
      <c r="D21" s="166"/>
      <c r="E21" s="166"/>
      <c r="F21" s="166"/>
      <c r="G21" s="272"/>
      <c r="H21" s="166"/>
      <c r="I21" s="166"/>
      <c r="J21" s="167"/>
      <c r="K21" s="168"/>
      <c r="L21" s="166"/>
      <c r="M21" s="166"/>
      <c r="N21" s="281"/>
      <c r="O21" s="281"/>
      <c r="P21" s="281"/>
      <c r="Q21" s="281"/>
      <c r="R21" s="281"/>
      <c r="S21" s="281"/>
      <c r="T21" s="281"/>
      <c r="U21" s="281"/>
      <c r="V21" s="166"/>
      <c r="W21" s="166"/>
      <c r="X21" s="166"/>
      <c r="Y21" s="166"/>
      <c r="Z21" s="166"/>
      <c r="AA21" s="273"/>
      <c r="AB21" s="272"/>
      <c r="AC21" s="273"/>
      <c r="AD21" s="166"/>
      <c r="AE21" s="166"/>
    </row>
    <row r="22" ht="15.75" customHeight="1">
      <c r="A22" s="166"/>
      <c r="B22" s="166"/>
      <c r="C22" s="166"/>
      <c r="D22" s="166"/>
      <c r="E22" s="166"/>
      <c r="F22" s="166"/>
      <c r="G22" s="272"/>
      <c r="H22" s="166"/>
      <c r="I22" s="166"/>
      <c r="J22" s="167"/>
      <c r="K22" s="168"/>
      <c r="L22" s="166"/>
      <c r="M22" s="166"/>
      <c r="N22" s="281"/>
      <c r="O22" s="281"/>
      <c r="P22" s="281"/>
      <c r="Q22" s="281"/>
      <c r="R22" s="281"/>
      <c r="S22" s="281"/>
      <c r="T22" s="281"/>
      <c r="U22" s="281"/>
      <c r="V22" s="166"/>
      <c r="W22" s="166"/>
      <c r="X22" s="166"/>
      <c r="Y22" s="166"/>
      <c r="Z22" s="166"/>
      <c r="AA22" s="273"/>
      <c r="AB22" s="272"/>
      <c r="AC22" s="273"/>
      <c r="AD22" s="273"/>
      <c r="AE22" s="166"/>
    </row>
    <row r="23" ht="15.75" customHeight="1">
      <c r="A23" s="166"/>
      <c r="B23" s="166"/>
      <c r="C23" s="166"/>
      <c r="D23" s="166"/>
      <c r="E23" s="166"/>
      <c r="F23" s="166"/>
      <c r="G23" s="272"/>
      <c r="H23" s="166"/>
      <c r="I23" s="166"/>
      <c r="J23" s="167"/>
      <c r="K23" s="168"/>
      <c r="L23" s="166"/>
      <c r="M23" s="166"/>
      <c r="N23" s="281"/>
      <c r="O23" s="281"/>
      <c r="P23" s="281"/>
      <c r="Q23" s="281"/>
      <c r="R23" s="281"/>
      <c r="S23" s="281"/>
      <c r="T23" s="281"/>
      <c r="U23" s="281"/>
      <c r="V23" s="166"/>
      <c r="W23" s="166"/>
      <c r="X23" s="166"/>
      <c r="Y23" s="166"/>
      <c r="Z23" s="166"/>
      <c r="AA23" s="273"/>
      <c r="AB23" s="166"/>
      <c r="AC23" s="273"/>
      <c r="AD23" s="273"/>
      <c r="AE23" s="166"/>
    </row>
    <row r="24" ht="15.75" customHeight="1">
      <c r="A24" s="166"/>
      <c r="B24" s="166"/>
      <c r="C24" s="166"/>
      <c r="D24" s="166"/>
      <c r="E24" s="166"/>
      <c r="F24" s="166"/>
      <c r="G24" s="272"/>
      <c r="H24" s="166"/>
      <c r="I24" s="166"/>
      <c r="J24" s="167"/>
      <c r="K24" s="168"/>
      <c r="L24" s="166"/>
      <c r="M24" s="166"/>
      <c r="N24" s="281"/>
      <c r="O24" s="281"/>
      <c r="P24" s="281"/>
      <c r="Q24" s="281"/>
      <c r="R24" s="281"/>
      <c r="S24" s="281"/>
      <c r="T24" s="281"/>
      <c r="U24" s="281"/>
      <c r="V24" s="166"/>
      <c r="W24" s="166"/>
      <c r="X24" s="166"/>
      <c r="Y24" s="166"/>
      <c r="Z24" s="166"/>
      <c r="AA24" s="166"/>
      <c r="AB24" s="272"/>
      <c r="AC24" s="166"/>
      <c r="AD24" s="166"/>
      <c r="AE24" s="166"/>
    </row>
    <row r="25" ht="15.75" customHeight="1">
      <c r="A25" s="166"/>
      <c r="B25" s="166"/>
      <c r="C25" s="166"/>
      <c r="D25" s="166"/>
      <c r="E25" s="166"/>
      <c r="F25" s="166"/>
      <c r="G25" s="272"/>
      <c r="H25" s="166"/>
      <c r="I25" s="166"/>
      <c r="J25" s="167"/>
      <c r="K25" s="168"/>
      <c r="L25" s="166"/>
      <c r="M25" s="166"/>
      <c r="N25" s="281"/>
      <c r="O25" s="281"/>
      <c r="P25" s="281"/>
      <c r="Q25" s="281"/>
      <c r="R25" s="281"/>
      <c r="S25" s="281"/>
      <c r="T25" s="281"/>
      <c r="U25" s="281"/>
      <c r="V25" s="166"/>
      <c r="W25" s="166"/>
      <c r="X25" s="166"/>
      <c r="Y25" s="166"/>
      <c r="Z25" s="166"/>
      <c r="AA25" s="166"/>
      <c r="AB25" s="272"/>
      <c r="AC25" s="166"/>
      <c r="AD25" s="166"/>
      <c r="AE25" s="166"/>
    </row>
    <row r="26" ht="15.75" customHeight="1">
      <c r="A26" s="166"/>
      <c r="B26" s="166"/>
      <c r="C26" s="166"/>
      <c r="D26" s="166"/>
      <c r="E26" s="166"/>
      <c r="F26" s="272"/>
      <c r="G26" s="166"/>
      <c r="H26" s="273"/>
      <c r="I26" s="273"/>
      <c r="J26" s="167"/>
      <c r="K26" s="168"/>
      <c r="L26" s="166"/>
      <c r="M26" s="166"/>
      <c r="N26" s="281"/>
      <c r="O26" s="281"/>
      <c r="P26" s="281"/>
      <c r="Q26" s="281"/>
      <c r="R26" s="281"/>
      <c r="S26" s="281"/>
      <c r="T26" s="281"/>
      <c r="U26" s="281"/>
      <c r="V26" s="166"/>
      <c r="W26" s="166"/>
      <c r="X26" s="166"/>
      <c r="Y26" s="166"/>
      <c r="Z26" s="166"/>
      <c r="AA26" s="273"/>
      <c r="AB26" s="272"/>
      <c r="AC26" s="273"/>
      <c r="AD26" s="273"/>
      <c r="AE26" s="166"/>
    </row>
    <row r="27" ht="15.75" customHeight="1">
      <c r="A27" s="166"/>
      <c r="B27" s="166"/>
      <c r="C27" s="166"/>
      <c r="D27" s="166"/>
      <c r="E27" s="166"/>
      <c r="F27" s="166"/>
      <c r="G27" s="272"/>
      <c r="H27" s="166"/>
      <c r="I27" s="166"/>
      <c r="J27" s="167"/>
      <c r="K27" s="168"/>
      <c r="L27" s="166"/>
      <c r="M27" s="166"/>
      <c r="N27" s="281"/>
      <c r="O27" s="281"/>
      <c r="P27" s="281"/>
      <c r="Q27" s="281"/>
      <c r="R27" s="281"/>
      <c r="S27" s="281"/>
      <c r="T27" s="281"/>
      <c r="U27" s="281"/>
      <c r="V27" s="166"/>
      <c r="W27" s="166"/>
      <c r="X27" s="166"/>
      <c r="Y27" s="166"/>
      <c r="Z27" s="166"/>
      <c r="AA27" s="273"/>
      <c r="AB27" s="272"/>
      <c r="AC27" s="273"/>
      <c r="AD27" s="273"/>
      <c r="AE27" s="166"/>
    </row>
    <row r="28" ht="15.75" customHeight="1">
      <c r="A28" s="166"/>
      <c r="B28" s="166"/>
      <c r="C28" s="166"/>
      <c r="D28" s="166"/>
      <c r="E28" s="166"/>
      <c r="F28" s="166"/>
      <c r="G28" s="272"/>
      <c r="H28" s="166"/>
      <c r="I28" s="166"/>
      <c r="J28" s="167"/>
      <c r="K28" s="168"/>
      <c r="L28" s="166"/>
      <c r="M28" s="166"/>
      <c r="N28" s="281"/>
      <c r="O28" s="281"/>
      <c r="P28" s="281"/>
      <c r="Q28" s="281"/>
      <c r="R28" s="281"/>
      <c r="S28" s="281"/>
      <c r="T28" s="281"/>
      <c r="U28" s="281"/>
      <c r="V28" s="166"/>
      <c r="W28" s="166"/>
      <c r="X28" s="166"/>
      <c r="Y28" s="166"/>
      <c r="Z28" s="166"/>
      <c r="AA28" s="273"/>
      <c r="AB28" s="272"/>
      <c r="AC28" s="273"/>
      <c r="AD28" s="166"/>
      <c r="AE28" s="166"/>
    </row>
    <row r="29" ht="15.75" customHeight="1">
      <c r="A29" s="166"/>
      <c r="B29" s="166"/>
      <c r="C29" s="166"/>
      <c r="D29" s="166"/>
      <c r="E29" s="166"/>
      <c r="F29" s="166"/>
      <c r="G29" s="272"/>
      <c r="H29" s="166"/>
      <c r="I29" s="166"/>
      <c r="J29" s="167"/>
      <c r="K29" s="168"/>
      <c r="L29" s="166"/>
      <c r="M29" s="166"/>
      <c r="N29" s="281"/>
      <c r="O29" s="281"/>
      <c r="P29" s="281"/>
      <c r="Q29" s="281"/>
      <c r="R29" s="281"/>
      <c r="S29" s="281"/>
      <c r="T29" s="281"/>
      <c r="U29" s="281"/>
      <c r="V29" s="166"/>
      <c r="W29" s="166"/>
      <c r="X29" s="166"/>
      <c r="Y29" s="166"/>
      <c r="Z29" s="166"/>
      <c r="AA29" s="273"/>
      <c r="AB29" s="272"/>
      <c r="AC29" s="273"/>
      <c r="AD29" s="273"/>
      <c r="AE29" s="166"/>
    </row>
    <row r="30" ht="15.75" customHeight="1">
      <c r="A30" s="166"/>
      <c r="B30" s="166"/>
      <c r="C30" s="166"/>
      <c r="D30" s="166"/>
      <c r="E30" s="166"/>
      <c r="F30" s="166"/>
      <c r="G30" s="166"/>
      <c r="H30" s="166"/>
      <c r="I30" s="166"/>
      <c r="J30" s="167"/>
      <c r="K30" s="168"/>
      <c r="L30" s="166"/>
      <c r="M30" s="166"/>
      <c r="N30" s="281"/>
      <c r="O30" s="281"/>
      <c r="P30" s="281"/>
      <c r="Q30" s="281"/>
      <c r="R30" s="281"/>
      <c r="S30" s="281"/>
      <c r="T30" s="281"/>
      <c r="U30" s="281"/>
      <c r="V30" s="166"/>
      <c r="W30" s="166"/>
      <c r="X30" s="166"/>
      <c r="Y30" s="166"/>
      <c r="Z30" s="166"/>
      <c r="AA30" s="273"/>
      <c r="AB30" s="272"/>
      <c r="AC30" s="273"/>
      <c r="AD30" s="273"/>
      <c r="AE30" s="166"/>
    </row>
    <row r="31" ht="15.75" customHeight="1">
      <c r="A31" s="166"/>
      <c r="B31" s="281"/>
      <c r="C31" s="281"/>
      <c r="D31" s="281"/>
      <c r="E31" s="281"/>
      <c r="F31" s="281"/>
      <c r="G31" s="281"/>
      <c r="H31" s="317"/>
      <c r="I31" s="281"/>
      <c r="J31" s="318"/>
      <c r="K31" s="319"/>
      <c r="L31" s="281"/>
      <c r="M31" s="281"/>
      <c r="N31" s="281"/>
      <c r="O31" s="281"/>
      <c r="P31" s="281"/>
      <c r="Q31" s="281"/>
      <c r="R31" s="281"/>
      <c r="S31" s="281"/>
      <c r="T31" s="281"/>
      <c r="U31" s="281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</row>
    <row r="32" ht="15.75" customHeight="1">
      <c r="A32" s="281"/>
      <c r="B32" s="281"/>
      <c r="C32" s="281"/>
      <c r="D32" s="281"/>
      <c r="E32" s="281"/>
      <c r="F32" s="281"/>
      <c r="G32" s="317"/>
      <c r="H32" s="281"/>
      <c r="I32" s="281"/>
      <c r="J32" s="318"/>
      <c r="K32" s="319"/>
      <c r="L32" s="281"/>
      <c r="M32" s="281"/>
      <c r="N32" s="281"/>
      <c r="O32" s="281"/>
      <c r="P32" s="281"/>
      <c r="Q32" s="281"/>
      <c r="R32" s="281"/>
      <c r="S32" s="281"/>
      <c r="T32" s="281"/>
      <c r="U32" s="281"/>
      <c r="V32" s="166"/>
      <c r="W32" s="284"/>
      <c r="X32" s="166"/>
      <c r="Y32" s="166"/>
      <c r="Z32" s="166"/>
      <c r="AA32" s="272"/>
      <c r="AB32" s="272"/>
      <c r="AC32" s="272"/>
      <c r="AD32" s="272"/>
      <c r="AE32" s="166"/>
    </row>
    <row r="33" ht="15.75" customHeight="1">
      <c r="A33" s="281"/>
      <c r="B33" s="281"/>
      <c r="C33" s="281"/>
      <c r="D33" s="281"/>
      <c r="E33" s="281"/>
      <c r="F33" s="281"/>
      <c r="G33" s="317"/>
      <c r="H33" s="281"/>
      <c r="I33" s="281"/>
      <c r="J33" s="318"/>
      <c r="K33" s="319"/>
      <c r="L33" s="281"/>
      <c r="M33" s="281"/>
      <c r="N33" s="281"/>
      <c r="O33" s="281"/>
      <c r="P33" s="281"/>
      <c r="Q33" s="281"/>
      <c r="R33" s="281"/>
      <c r="S33" s="281"/>
      <c r="T33" s="281"/>
      <c r="U33" s="281"/>
      <c r="V33" s="166"/>
      <c r="W33" s="284"/>
      <c r="X33" s="166"/>
      <c r="Y33" s="166"/>
      <c r="Z33" s="166"/>
      <c r="AA33" s="272"/>
      <c r="AB33" s="272"/>
      <c r="AC33" s="272"/>
      <c r="AD33" s="272"/>
      <c r="AE33" s="166"/>
    </row>
    <row r="34" ht="15.75" customHeight="1">
      <c r="A34" s="166"/>
      <c r="B34" s="166"/>
      <c r="C34" s="166"/>
      <c r="D34" s="166"/>
      <c r="E34" s="166"/>
      <c r="F34" s="166"/>
      <c r="G34" s="272"/>
      <c r="H34" s="166"/>
      <c r="I34" s="166"/>
      <c r="J34" s="167"/>
      <c r="K34" s="168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284"/>
      <c r="X34" s="166"/>
      <c r="Y34" s="166"/>
      <c r="Z34" s="166"/>
      <c r="AA34" s="272"/>
      <c r="AB34" s="272"/>
      <c r="AC34" s="272"/>
      <c r="AD34" s="272"/>
      <c r="AE34" s="166"/>
    </row>
    <row r="35" ht="15.75" customHeight="1">
      <c r="A35" s="166"/>
      <c r="B35" s="166"/>
      <c r="C35" s="166"/>
      <c r="D35" s="166"/>
      <c r="E35" s="166"/>
      <c r="F35" s="166"/>
      <c r="G35" s="272"/>
      <c r="H35" s="166"/>
      <c r="I35" s="166"/>
      <c r="J35" s="167"/>
      <c r="K35" s="168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284"/>
      <c r="X35" s="166"/>
      <c r="Y35" s="166"/>
      <c r="Z35" s="166"/>
      <c r="AA35" s="272"/>
      <c r="AB35" s="272"/>
      <c r="AC35" s="272"/>
      <c r="AD35" s="272"/>
      <c r="AE35" s="166"/>
    </row>
    <row r="36" ht="15.75" customHeight="1">
      <c r="A36" s="166"/>
      <c r="B36" s="166"/>
      <c r="C36" s="166"/>
      <c r="D36" s="166"/>
      <c r="E36" s="166"/>
      <c r="F36" s="166"/>
      <c r="G36" s="272"/>
      <c r="H36" s="166"/>
      <c r="I36" s="166"/>
      <c r="J36" s="167"/>
      <c r="K36" s="168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284"/>
      <c r="X36" s="166"/>
      <c r="Y36" s="166"/>
      <c r="Z36" s="166"/>
      <c r="AA36" s="272"/>
      <c r="AB36" s="272"/>
      <c r="AC36" s="272"/>
      <c r="AD36" s="272"/>
      <c r="AE36" s="166"/>
    </row>
    <row r="37" ht="15.75" customHeight="1">
      <c r="A37" s="166"/>
      <c r="B37" s="166"/>
      <c r="C37" s="166"/>
      <c r="D37" s="166"/>
      <c r="E37" s="166"/>
      <c r="F37" s="166"/>
      <c r="G37" s="272"/>
      <c r="H37" s="166"/>
      <c r="I37" s="166"/>
      <c r="J37" s="167"/>
      <c r="K37" s="168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</row>
    <row r="38" ht="15.75" customHeight="1">
      <c r="A38" s="166"/>
      <c r="B38" s="166"/>
      <c r="C38" s="166"/>
      <c r="D38" s="166"/>
      <c r="E38" s="166"/>
      <c r="F38" s="166"/>
      <c r="G38" s="272"/>
      <c r="H38" s="166"/>
      <c r="I38" s="166"/>
      <c r="J38" s="167"/>
      <c r="K38" s="168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</row>
    <row r="39" ht="15.75" customHeight="1">
      <c r="A39" s="166"/>
      <c r="B39" s="166"/>
      <c r="C39" s="166"/>
      <c r="D39" s="166"/>
      <c r="E39" s="166"/>
      <c r="F39" s="166"/>
      <c r="G39" s="272"/>
      <c r="H39" s="166"/>
      <c r="I39" s="166"/>
      <c r="J39" s="167"/>
      <c r="K39" s="168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</row>
    <row r="40" ht="15.75" customHeight="1">
      <c r="A40" s="166"/>
      <c r="B40" s="166"/>
      <c r="C40" s="166"/>
      <c r="D40" s="166"/>
      <c r="E40" s="166"/>
      <c r="F40" s="166"/>
      <c r="G40" s="272"/>
      <c r="H40" s="166"/>
      <c r="I40" s="166"/>
      <c r="J40" s="167"/>
      <c r="K40" s="168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166"/>
      <c r="J41" s="167"/>
      <c r="K41" s="168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166"/>
      <c r="J42" s="167"/>
      <c r="K42" s="168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166"/>
      <c r="J43" s="167"/>
      <c r="K43" s="168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166"/>
      <c r="J44" s="167"/>
      <c r="K44" s="168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166"/>
      <c r="J45" s="167"/>
      <c r="K45" s="168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166"/>
      <c r="J46" s="167"/>
      <c r="K46" s="168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166"/>
      <c r="J47" s="167"/>
      <c r="K47" s="168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166"/>
      <c r="J48" s="167"/>
      <c r="K48" s="168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166"/>
      <c r="J49" s="167"/>
      <c r="K49" s="168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166"/>
      <c r="J50" s="167"/>
      <c r="K50" s="168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166"/>
      <c r="J51" s="167"/>
      <c r="K51" s="168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166"/>
      <c r="J52" s="167"/>
      <c r="K52" s="168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166"/>
      <c r="J53" s="167"/>
      <c r="K53" s="168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166"/>
      <c r="J54" s="167"/>
      <c r="K54" s="168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166"/>
      <c r="J55" s="167"/>
      <c r="K55" s="168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166"/>
      <c r="J56" s="167"/>
      <c r="K56" s="168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166"/>
      <c r="J57" s="167"/>
      <c r="K57" s="168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166"/>
      <c r="J58" s="167"/>
      <c r="K58" s="168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166"/>
      <c r="J59" s="167"/>
      <c r="K59" s="168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166"/>
      <c r="J60" s="167"/>
      <c r="K60" s="168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166"/>
      <c r="J61" s="167"/>
      <c r="K61" s="168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166"/>
      <c r="J62" s="167"/>
      <c r="K62" s="168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166"/>
      <c r="J63" s="167"/>
      <c r="K63" s="168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166"/>
      <c r="J64" s="167"/>
      <c r="K64" s="168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166"/>
      <c r="J65" s="167"/>
      <c r="K65" s="168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166"/>
      <c r="J66" s="167"/>
      <c r="K66" s="168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166"/>
      <c r="J67" s="167"/>
      <c r="K67" s="168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166"/>
      <c r="J68" s="167"/>
      <c r="K68" s="168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166"/>
      <c r="J69" s="167"/>
      <c r="K69" s="168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166"/>
      <c r="J70" s="167"/>
      <c r="K70" s="168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166"/>
      <c r="J71" s="167"/>
      <c r="K71" s="168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166"/>
      <c r="J72" s="167"/>
      <c r="K72" s="168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166"/>
      <c r="J73" s="167"/>
      <c r="K73" s="168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166"/>
      <c r="J74" s="167"/>
      <c r="K74" s="168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166"/>
      <c r="J75" s="167"/>
      <c r="K75" s="168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166"/>
      <c r="J76" s="167"/>
      <c r="K76" s="168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166"/>
      <c r="J77" s="167"/>
      <c r="K77" s="168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166"/>
      <c r="J78" s="167"/>
      <c r="K78" s="168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166"/>
      <c r="J79" s="167"/>
      <c r="K79" s="168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166"/>
      <c r="J80" s="167"/>
      <c r="K80" s="168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166"/>
      <c r="J81" s="167"/>
      <c r="K81" s="168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166"/>
      <c r="J82" s="167"/>
      <c r="K82" s="168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166"/>
      <c r="J83" s="167"/>
      <c r="K83" s="168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166"/>
      <c r="J84" s="167"/>
      <c r="K84" s="168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166"/>
      <c r="J85" s="167"/>
      <c r="K85" s="168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166"/>
      <c r="J86" s="167"/>
      <c r="K86" s="168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166"/>
      <c r="J87" s="167"/>
      <c r="K87" s="168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166"/>
      <c r="J88" s="167"/>
      <c r="K88" s="168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166"/>
      <c r="J89" s="167"/>
      <c r="K89" s="168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166"/>
      <c r="J90" s="167"/>
      <c r="K90" s="168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166"/>
      <c r="J91" s="167"/>
      <c r="K91" s="168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166"/>
      <c r="J92" s="167"/>
      <c r="K92" s="168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166"/>
      <c r="J93" s="167"/>
      <c r="K93" s="168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166"/>
      <c r="J94" s="167"/>
      <c r="K94" s="168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166"/>
      <c r="J95" s="167"/>
      <c r="K95" s="168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166"/>
      <c r="J96" s="167"/>
      <c r="K96" s="168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166"/>
      <c r="J97" s="167"/>
      <c r="K97" s="168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166"/>
      <c r="J98" s="167"/>
      <c r="K98" s="168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166"/>
      <c r="J99" s="167"/>
      <c r="K99" s="168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166"/>
      <c r="J100" s="167"/>
      <c r="K100" s="168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166"/>
      <c r="J101" s="167"/>
      <c r="K101" s="168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166"/>
      <c r="J102" s="167"/>
      <c r="K102" s="168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166"/>
      <c r="J103" s="167"/>
      <c r="K103" s="168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166"/>
      <c r="J104" s="167"/>
      <c r="K104" s="168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166"/>
      <c r="J105" s="167"/>
      <c r="K105" s="168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166"/>
      <c r="J106" s="167"/>
      <c r="K106" s="168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166"/>
      <c r="J107" s="167"/>
      <c r="K107" s="168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166"/>
      <c r="J108" s="167"/>
      <c r="K108" s="168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166"/>
      <c r="J109" s="167"/>
      <c r="K109" s="168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166"/>
      <c r="J110" s="167"/>
      <c r="K110" s="168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166"/>
      <c r="J111" s="167"/>
      <c r="K111" s="168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166"/>
      <c r="J112" s="167"/>
      <c r="K112" s="168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166"/>
      <c r="J113" s="167"/>
      <c r="K113" s="168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166"/>
      <c r="J114" s="167"/>
      <c r="K114" s="168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166"/>
      <c r="J115" s="167"/>
      <c r="K115" s="168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166"/>
      <c r="J116" s="167"/>
      <c r="K116" s="168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166"/>
      <c r="J117" s="167"/>
      <c r="K117" s="168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166"/>
      <c r="J118" s="167"/>
      <c r="K118" s="168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166"/>
      <c r="J119" s="167"/>
      <c r="K119" s="168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166"/>
      <c r="J120" s="167"/>
      <c r="K120" s="168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166"/>
      <c r="J121" s="167"/>
      <c r="K121" s="168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166"/>
      <c r="J122" s="167"/>
      <c r="K122" s="168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166"/>
      <c r="J123" s="167"/>
      <c r="K123" s="168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166"/>
      <c r="J124" s="167"/>
      <c r="K124" s="168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166"/>
      <c r="J125" s="167"/>
      <c r="K125" s="168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166"/>
      <c r="J126" s="167"/>
      <c r="K126" s="168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166"/>
      <c r="J127" s="167"/>
      <c r="K127" s="168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166"/>
      <c r="J128" s="167"/>
      <c r="K128" s="168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166"/>
      <c r="J129" s="167"/>
      <c r="K129" s="168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166"/>
      <c r="J130" s="167"/>
      <c r="K130" s="168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166"/>
      <c r="J131" s="167"/>
      <c r="K131" s="168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166"/>
      <c r="J132" s="167"/>
      <c r="K132" s="168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166"/>
      <c r="J133" s="167"/>
      <c r="K133" s="168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166"/>
      <c r="J134" s="167"/>
      <c r="K134" s="168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166"/>
      <c r="J135" s="167"/>
      <c r="K135" s="168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166"/>
      <c r="J136" s="167"/>
      <c r="K136" s="168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166"/>
      <c r="J137" s="167"/>
      <c r="K137" s="168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166"/>
      <c r="J138" s="167"/>
      <c r="K138" s="168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166"/>
      <c r="J139" s="167"/>
      <c r="K139" s="168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166"/>
      <c r="J140" s="167"/>
      <c r="K140" s="168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166"/>
      <c r="J141" s="167"/>
      <c r="K141" s="168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166"/>
      <c r="J142" s="167"/>
      <c r="K142" s="168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166"/>
      <c r="J143" s="167"/>
      <c r="K143" s="168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166"/>
      <c r="J144" s="167"/>
      <c r="K144" s="168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166"/>
      <c r="J145" s="167"/>
      <c r="K145" s="168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166"/>
      <c r="J146" s="167"/>
      <c r="K146" s="168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166"/>
      <c r="J147" s="167"/>
      <c r="K147" s="168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166"/>
      <c r="J148" s="167"/>
      <c r="K148" s="168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166"/>
      <c r="J149" s="167"/>
      <c r="K149" s="168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166"/>
      <c r="J150" s="167"/>
      <c r="K150" s="168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166"/>
      <c r="J151" s="167"/>
      <c r="K151" s="168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166"/>
      <c r="J152" s="167"/>
      <c r="K152" s="168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166"/>
      <c r="J153" s="167"/>
      <c r="K153" s="168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166"/>
      <c r="J154" s="167"/>
      <c r="K154" s="168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166"/>
      <c r="J155" s="167"/>
      <c r="K155" s="168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166"/>
      <c r="J156" s="167"/>
      <c r="K156" s="168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166"/>
      <c r="J157" s="167"/>
      <c r="K157" s="168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166"/>
      <c r="J158" s="167"/>
      <c r="K158" s="168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166"/>
      <c r="J159" s="167"/>
      <c r="K159" s="168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166"/>
      <c r="J160" s="167"/>
      <c r="K160" s="168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166"/>
      <c r="J161" s="167"/>
      <c r="K161" s="168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166"/>
      <c r="J162" s="167"/>
      <c r="K162" s="168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166"/>
      <c r="J163" s="167"/>
      <c r="K163" s="168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166"/>
      <c r="J164" s="167"/>
      <c r="K164" s="168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166"/>
      <c r="J165" s="167"/>
      <c r="K165" s="168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166"/>
      <c r="J166" s="167"/>
      <c r="K166" s="168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166"/>
      <c r="J167" s="167"/>
      <c r="K167" s="168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166"/>
      <c r="J168" s="167"/>
      <c r="K168" s="168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166"/>
      <c r="J169" s="167"/>
      <c r="K169" s="168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166"/>
      <c r="J170" s="167"/>
      <c r="K170" s="168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166"/>
      <c r="J171" s="167"/>
      <c r="K171" s="168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166"/>
      <c r="J172" s="167"/>
      <c r="K172" s="168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166"/>
      <c r="J173" s="167"/>
      <c r="K173" s="168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166"/>
      <c r="J174" s="167"/>
      <c r="K174" s="168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166"/>
      <c r="J175" s="167"/>
      <c r="K175" s="168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166"/>
      <c r="J176" s="167"/>
      <c r="K176" s="168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166"/>
      <c r="J177" s="167"/>
      <c r="K177" s="168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166"/>
      <c r="J178" s="167"/>
      <c r="K178" s="168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166"/>
      <c r="J179" s="167"/>
      <c r="K179" s="168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166"/>
      <c r="J180" s="167"/>
      <c r="K180" s="168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166"/>
      <c r="J181" s="167"/>
      <c r="K181" s="168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166"/>
      <c r="J182" s="167"/>
      <c r="K182" s="168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166"/>
      <c r="J183" s="167"/>
      <c r="K183" s="168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166"/>
      <c r="J184" s="167"/>
      <c r="K184" s="168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166"/>
      <c r="J185" s="167"/>
      <c r="K185" s="168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166"/>
      <c r="J186" s="167"/>
      <c r="K186" s="168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166"/>
      <c r="J187" s="167"/>
      <c r="K187" s="168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166"/>
      <c r="J188" s="167"/>
      <c r="K188" s="168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166"/>
      <c r="J189" s="167"/>
      <c r="K189" s="168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166"/>
      <c r="J190" s="167"/>
      <c r="K190" s="168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166"/>
      <c r="J191" s="167"/>
      <c r="K191" s="168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166"/>
      <c r="J192" s="167"/>
      <c r="K192" s="168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166"/>
      <c r="J193" s="167"/>
      <c r="K193" s="168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166"/>
      <c r="J194" s="167"/>
      <c r="K194" s="168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166"/>
      <c r="J195" s="167"/>
      <c r="K195" s="168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166"/>
      <c r="J196" s="167"/>
      <c r="K196" s="168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166"/>
      <c r="J197" s="167"/>
      <c r="K197" s="168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166"/>
      <c r="J198" s="167"/>
      <c r="K198" s="168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166"/>
      <c r="J199" s="167"/>
      <c r="K199" s="168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166"/>
      <c r="J200" s="167"/>
      <c r="K200" s="168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166"/>
      <c r="J201" s="167"/>
      <c r="K201" s="168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166"/>
      <c r="J202" s="167"/>
      <c r="K202" s="168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166"/>
      <c r="J203" s="167"/>
      <c r="K203" s="168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166"/>
      <c r="J204" s="167"/>
      <c r="K204" s="168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166"/>
      <c r="J205" s="167"/>
      <c r="K205" s="168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166"/>
      <c r="J206" s="167"/>
      <c r="K206" s="168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166"/>
      <c r="J207" s="167"/>
      <c r="K207" s="168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166"/>
      <c r="J208" s="167"/>
      <c r="K208" s="168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166"/>
      <c r="J209" s="167"/>
      <c r="K209" s="168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166"/>
      <c r="J210" s="167"/>
      <c r="K210" s="168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166"/>
      <c r="J211" s="167"/>
      <c r="K211" s="168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166"/>
      <c r="J212" s="167"/>
      <c r="K212" s="168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166"/>
      <c r="J213" s="167"/>
      <c r="K213" s="168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166"/>
      <c r="J214" s="167"/>
      <c r="K214" s="168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166"/>
      <c r="J215" s="167"/>
      <c r="K215" s="168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166"/>
      <c r="J216" s="167"/>
      <c r="K216" s="168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166"/>
      <c r="J217" s="167"/>
      <c r="K217" s="168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166"/>
      <c r="J218" s="167"/>
      <c r="K218" s="168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166"/>
      <c r="J219" s="167"/>
      <c r="K219" s="168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166"/>
      <c r="J220" s="167"/>
      <c r="K220" s="168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X221" s="7"/>
      <c r="AA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X222" s="7"/>
      <c r="AA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X223" s="7"/>
      <c r="AA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X224" s="7"/>
      <c r="AA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X225" s="7"/>
      <c r="AA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X226" s="7"/>
      <c r="AA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X227" s="7"/>
      <c r="AA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X228" s="7"/>
      <c r="AA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X229" s="7"/>
      <c r="AA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X230" s="7"/>
      <c r="AA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X231" s="7"/>
      <c r="AA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X232" s="7"/>
      <c r="AA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X233" s="7"/>
      <c r="AA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X234" s="7"/>
      <c r="AA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X235" s="7"/>
      <c r="AA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X236" s="7"/>
      <c r="AA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X237" s="7"/>
      <c r="AA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X238" s="7"/>
      <c r="AA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X239" s="7"/>
      <c r="AA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X240" s="7"/>
      <c r="AA240" s="7"/>
      <c r="AC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X241" s="7"/>
      <c r="AA241" s="7"/>
      <c r="AC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X242" s="7"/>
      <c r="AA242" s="7"/>
      <c r="AC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X243" s="7"/>
      <c r="AA243" s="7"/>
      <c r="AC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X244" s="7"/>
      <c r="AA244" s="7"/>
      <c r="AC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X245" s="7"/>
      <c r="AA245" s="7"/>
      <c r="AC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X246" s="7"/>
      <c r="AA246" s="7"/>
      <c r="AC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X247" s="7"/>
      <c r="AA247" s="7"/>
      <c r="AC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X248" s="7"/>
      <c r="AA248" s="7"/>
      <c r="AC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X249" s="7"/>
      <c r="AA249" s="7"/>
      <c r="AC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X250" s="7"/>
      <c r="AA250" s="7"/>
      <c r="AC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X251" s="7"/>
      <c r="AA251" s="7"/>
      <c r="AC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X252" s="7"/>
      <c r="AA252" s="7"/>
      <c r="AC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X253" s="7"/>
      <c r="AA253" s="7"/>
      <c r="AC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X254" s="7"/>
      <c r="AA254" s="7"/>
      <c r="AC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X255" s="7"/>
      <c r="AA255" s="7"/>
      <c r="AC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X256" s="7"/>
      <c r="AA256" s="7"/>
      <c r="AC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X257" s="7"/>
      <c r="AA257" s="7"/>
      <c r="AC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X258" s="7"/>
      <c r="AA258" s="7"/>
      <c r="AC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X259" s="7"/>
      <c r="AA259" s="7"/>
      <c r="AC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X260" s="7"/>
      <c r="AA260" s="7"/>
      <c r="AC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X261" s="7"/>
      <c r="AA261" s="7"/>
      <c r="AC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X262" s="7"/>
      <c r="AA262" s="7"/>
      <c r="AC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X263" s="7"/>
      <c r="AA263" s="7"/>
      <c r="AC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X264" s="7"/>
      <c r="AA264" s="7"/>
      <c r="AC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X265" s="7"/>
      <c r="AA265" s="7"/>
      <c r="AC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X266" s="7"/>
      <c r="AA266" s="7"/>
      <c r="AC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X267" s="7"/>
      <c r="AA267" s="7"/>
      <c r="AC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X268" s="7"/>
      <c r="AA268" s="7"/>
      <c r="AC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X269" s="7"/>
      <c r="AA269" s="7"/>
      <c r="AC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X270" s="7"/>
      <c r="AA270" s="7"/>
      <c r="AC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X271" s="7"/>
      <c r="AA271" s="7"/>
      <c r="AC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X272" s="7"/>
      <c r="AA272" s="7"/>
      <c r="AC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X273" s="7"/>
      <c r="AA273" s="7"/>
      <c r="AC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X274" s="7"/>
      <c r="AA274" s="7"/>
      <c r="AC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X275" s="7"/>
      <c r="AA275" s="7"/>
      <c r="AC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X276" s="7"/>
      <c r="AA276" s="7"/>
      <c r="AC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X277" s="7"/>
      <c r="AA277" s="7"/>
      <c r="AC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X278" s="7"/>
      <c r="AA278" s="7"/>
      <c r="AC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X279" s="7"/>
      <c r="AA279" s="7"/>
      <c r="AC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X280" s="7"/>
      <c r="AA280" s="7"/>
      <c r="AC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X281" s="7"/>
      <c r="AA281" s="7"/>
      <c r="AC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X282" s="7"/>
      <c r="AA282" s="7"/>
      <c r="AC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X283" s="7"/>
      <c r="AA283" s="7"/>
      <c r="AC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X284" s="7"/>
      <c r="AA284" s="7"/>
      <c r="AC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X285" s="7"/>
      <c r="AA285" s="7"/>
      <c r="AC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X286" s="7"/>
      <c r="AA286" s="7"/>
      <c r="AC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X287" s="7"/>
      <c r="AA287" s="7"/>
      <c r="AC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X288" s="7"/>
      <c r="AA288" s="7"/>
      <c r="AC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X289" s="7"/>
      <c r="AA289" s="7"/>
      <c r="AC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X290" s="7"/>
      <c r="AA290" s="7"/>
      <c r="AC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X291" s="7"/>
      <c r="AA291" s="7"/>
      <c r="AC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X292" s="7"/>
      <c r="AA292" s="7"/>
      <c r="AC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X293" s="7"/>
      <c r="AA293" s="7"/>
      <c r="AC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X294" s="7"/>
      <c r="AA294" s="7"/>
      <c r="AC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X295" s="7"/>
      <c r="AA295" s="7"/>
      <c r="AC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X296" s="7"/>
      <c r="AA296" s="7"/>
      <c r="AC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X297" s="7"/>
      <c r="AA297" s="7"/>
      <c r="AC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X298" s="7"/>
      <c r="AA298" s="7"/>
      <c r="AC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X299" s="7"/>
      <c r="AA299" s="7"/>
      <c r="AC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X300" s="7"/>
      <c r="AA300" s="7"/>
      <c r="AC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X301" s="7"/>
      <c r="AA301" s="7"/>
      <c r="AC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X302" s="7"/>
      <c r="AA302" s="7"/>
      <c r="AC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X303" s="7"/>
      <c r="AA303" s="7"/>
      <c r="AC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X304" s="7"/>
      <c r="AA304" s="7"/>
      <c r="AC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X305" s="7"/>
      <c r="AA305" s="7"/>
      <c r="AC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X306" s="7"/>
      <c r="AA306" s="7"/>
      <c r="AC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X307" s="7"/>
      <c r="AA307" s="7"/>
      <c r="AC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X308" s="7"/>
      <c r="AA308" s="7"/>
      <c r="AC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X309" s="7"/>
      <c r="AA309" s="7"/>
      <c r="AC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X310" s="7"/>
      <c r="AA310" s="7"/>
      <c r="AC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X311" s="7"/>
      <c r="AA311" s="7"/>
      <c r="AC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X312" s="7"/>
      <c r="AA312" s="7"/>
      <c r="AC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X313" s="7"/>
      <c r="AA313" s="7"/>
      <c r="AC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X314" s="7"/>
      <c r="AA314" s="7"/>
      <c r="AC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X315" s="7"/>
      <c r="AA315" s="7"/>
      <c r="AC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X316" s="7"/>
      <c r="AA316" s="7"/>
      <c r="AC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X317" s="7"/>
      <c r="AA317" s="7"/>
      <c r="AC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X318" s="7"/>
      <c r="AA318" s="7"/>
      <c r="AC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X319" s="7"/>
      <c r="AA319" s="7"/>
      <c r="AC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X320" s="7"/>
      <c r="AA320" s="7"/>
      <c r="AC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X321" s="7"/>
      <c r="AA321" s="7"/>
      <c r="AC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X322" s="7"/>
      <c r="AA322" s="7"/>
      <c r="AC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X323" s="7"/>
      <c r="AA323" s="7"/>
      <c r="AC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X324" s="7"/>
      <c r="AA324" s="7"/>
      <c r="AC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X325" s="7"/>
      <c r="AA325" s="7"/>
      <c r="AC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X326" s="7"/>
      <c r="AA326" s="7"/>
      <c r="AC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X327" s="7"/>
      <c r="AA327" s="7"/>
      <c r="AC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X328" s="7"/>
      <c r="AA328" s="7"/>
      <c r="AC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X329" s="7"/>
      <c r="AA329" s="7"/>
      <c r="AC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X330" s="7"/>
      <c r="AA330" s="7"/>
      <c r="AC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X331" s="7"/>
      <c r="AA331" s="7"/>
      <c r="AC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X332" s="7"/>
      <c r="AA332" s="7"/>
      <c r="AC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X333" s="7"/>
      <c r="AA333" s="7"/>
      <c r="AC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X334" s="7"/>
      <c r="AA334" s="7"/>
      <c r="AC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X335" s="7"/>
      <c r="AA335" s="7"/>
      <c r="AC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X336" s="7"/>
      <c r="AA336" s="7"/>
      <c r="AC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X337" s="7"/>
      <c r="AA337" s="7"/>
      <c r="AC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X338" s="7"/>
      <c r="AA338" s="7"/>
      <c r="AC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X339" s="7"/>
      <c r="AA339" s="7"/>
      <c r="AC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X340" s="7"/>
      <c r="AA340" s="7"/>
      <c r="AC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X341" s="7"/>
      <c r="AA341" s="7"/>
      <c r="AC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X342" s="7"/>
      <c r="AA342" s="7"/>
      <c r="AC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X343" s="7"/>
      <c r="AA343" s="7"/>
      <c r="AC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X344" s="7"/>
      <c r="AA344" s="7"/>
      <c r="AC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X345" s="7"/>
      <c r="AA345" s="7"/>
      <c r="AC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X346" s="7"/>
      <c r="AA346" s="7"/>
      <c r="AC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X347" s="7"/>
      <c r="AA347" s="7"/>
      <c r="AC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X348" s="7"/>
      <c r="AA348" s="7"/>
      <c r="AC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X349" s="7"/>
      <c r="AA349" s="7"/>
      <c r="AC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X350" s="7"/>
      <c r="AA350" s="7"/>
      <c r="AC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X351" s="7"/>
      <c r="AA351" s="7"/>
      <c r="AC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X352" s="7"/>
      <c r="AA352" s="7"/>
      <c r="AC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X353" s="7"/>
      <c r="AA353" s="7"/>
      <c r="AC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X354" s="7"/>
      <c r="AA354" s="7"/>
      <c r="AC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X355" s="7"/>
      <c r="AA355" s="7"/>
      <c r="AC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X356" s="7"/>
      <c r="AA356" s="7"/>
      <c r="AC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X357" s="7"/>
      <c r="AA357" s="7"/>
      <c r="AC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X358" s="7"/>
      <c r="AA358" s="7"/>
      <c r="AC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X359" s="7"/>
      <c r="AA359" s="7"/>
      <c r="AC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X360" s="7"/>
      <c r="AA360" s="7"/>
      <c r="AC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X361" s="7"/>
      <c r="AA361" s="7"/>
      <c r="AC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X362" s="7"/>
      <c r="AA362" s="7"/>
      <c r="AC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X363" s="7"/>
      <c r="AA363" s="7"/>
      <c r="AC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X364" s="7"/>
      <c r="AA364" s="7"/>
      <c r="AC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X365" s="7"/>
      <c r="AA365" s="7"/>
      <c r="AC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X366" s="7"/>
      <c r="AA366" s="7"/>
      <c r="AC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X367" s="7"/>
      <c r="AA367" s="7"/>
      <c r="AC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X368" s="7"/>
      <c r="AA368" s="7"/>
      <c r="AC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X369" s="7"/>
      <c r="AA369" s="7"/>
      <c r="AC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X370" s="7"/>
      <c r="AA370" s="7"/>
      <c r="AC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X371" s="7"/>
      <c r="AA371" s="7"/>
      <c r="AC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X372" s="7"/>
      <c r="AA372" s="7"/>
      <c r="AC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X373" s="7"/>
      <c r="AA373" s="7"/>
      <c r="AC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X374" s="7"/>
      <c r="AA374" s="7"/>
      <c r="AC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X375" s="7"/>
      <c r="AA375" s="7"/>
      <c r="AC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X376" s="7"/>
      <c r="AA376" s="7"/>
      <c r="AC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X377" s="7"/>
      <c r="AA377" s="7"/>
      <c r="AC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X378" s="7"/>
      <c r="AA378" s="7"/>
      <c r="AC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X379" s="7"/>
      <c r="AA379" s="7"/>
      <c r="AC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X380" s="7"/>
      <c r="AA380" s="7"/>
      <c r="AC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X381" s="7"/>
      <c r="AA381" s="7"/>
      <c r="AC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X382" s="7"/>
      <c r="AA382" s="7"/>
      <c r="AC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X383" s="7"/>
      <c r="AA383" s="7"/>
      <c r="AC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X384" s="7"/>
      <c r="AA384" s="7"/>
      <c r="AC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X385" s="7"/>
      <c r="AA385" s="7"/>
      <c r="AC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X386" s="7"/>
      <c r="AA386" s="7"/>
      <c r="AC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X387" s="7"/>
      <c r="AA387" s="7"/>
      <c r="AC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X388" s="7"/>
      <c r="AA388" s="7"/>
      <c r="AC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X389" s="7"/>
      <c r="AA389" s="7"/>
      <c r="AC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X390" s="7"/>
      <c r="AA390" s="7"/>
      <c r="AC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X391" s="7"/>
      <c r="AA391" s="7"/>
      <c r="AC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X392" s="7"/>
      <c r="AA392" s="7"/>
      <c r="AC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X393" s="7"/>
      <c r="AA393" s="7"/>
      <c r="AC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X394" s="7"/>
      <c r="AA394" s="7"/>
      <c r="AC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X395" s="7"/>
      <c r="AA395" s="7"/>
      <c r="AC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X396" s="7"/>
      <c r="AA396" s="7"/>
      <c r="AC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X397" s="7"/>
      <c r="AA397" s="7"/>
      <c r="AC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X398" s="7"/>
      <c r="AA398" s="7"/>
      <c r="AC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X399" s="7"/>
      <c r="AA399" s="7"/>
      <c r="AC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X400" s="7"/>
      <c r="AA400" s="7"/>
      <c r="AC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X401" s="7"/>
      <c r="AA401" s="7"/>
      <c r="AC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X402" s="7"/>
      <c r="AA402" s="7"/>
      <c r="AC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X403" s="7"/>
      <c r="AA403" s="7"/>
      <c r="AC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X404" s="7"/>
      <c r="AA404" s="7"/>
      <c r="AC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X405" s="7"/>
      <c r="AA405" s="7"/>
      <c r="AC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X406" s="7"/>
      <c r="AA406" s="7"/>
      <c r="AC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X407" s="7"/>
      <c r="AA407" s="7"/>
      <c r="AC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X408" s="7"/>
      <c r="AA408" s="7"/>
      <c r="AC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X409" s="7"/>
      <c r="AA409" s="7"/>
      <c r="AC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X410" s="7"/>
      <c r="AA410" s="7"/>
      <c r="AC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X411" s="7"/>
      <c r="AA411" s="7"/>
      <c r="AC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X412" s="7"/>
      <c r="AA412" s="7"/>
      <c r="AC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X413" s="7"/>
      <c r="AA413" s="7"/>
      <c r="AC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X414" s="7"/>
      <c r="AA414" s="7"/>
      <c r="AC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X415" s="7"/>
      <c r="AA415" s="7"/>
      <c r="AC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X416" s="7"/>
      <c r="AA416" s="7"/>
      <c r="AC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X417" s="7"/>
      <c r="AA417" s="7"/>
      <c r="AC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X418" s="7"/>
      <c r="AA418" s="7"/>
      <c r="AC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X419" s="7"/>
      <c r="AA419" s="7"/>
      <c r="AC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X420" s="7"/>
      <c r="AA420" s="7"/>
      <c r="AC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X421" s="7"/>
      <c r="AA421" s="7"/>
      <c r="AC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X422" s="7"/>
      <c r="AA422" s="7"/>
      <c r="AC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X423" s="7"/>
      <c r="AA423" s="7"/>
      <c r="AC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X424" s="7"/>
      <c r="AA424" s="7"/>
      <c r="AC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X425" s="7"/>
      <c r="AA425" s="7"/>
      <c r="AC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X426" s="7"/>
      <c r="AA426" s="7"/>
      <c r="AC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X427" s="7"/>
      <c r="AA427" s="7"/>
      <c r="AC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X428" s="7"/>
      <c r="AA428" s="7"/>
      <c r="AC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X429" s="7"/>
      <c r="AA429" s="7"/>
      <c r="AC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X430" s="7"/>
      <c r="AA430" s="7"/>
      <c r="AC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X431" s="7"/>
      <c r="AA431" s="7"/>
      <c r="AC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X432" s="7"/>
      <c r="AA432" s="7"/>
      <c r="AC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X433" s="7"/>
      <c r="AA433" s="7"/>
      <c r="AC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X434" s="7"/>
      <c r="AA434" s="7"/>
      <c r="AC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X435" s="7"/>
      <c r="AA435" s="7"/>
      <c r="AC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X436" s="7"/>
      <c r="AA436" s="7"/>
      <c r="AC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X437" s="7"/>
      <c r="AA437" s="7"/>
      <c r="AC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X438" s="7"/>
      <c r="AA438" s="7"/>
      <c r="AC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X439" s="7"/>
      <c r="AA439" s="7"/>
      <c r="AC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X440" s="7"/>
      <c r="AA440" s="7"/>
      <c r="AC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X441" s="7"/>
      <c r="AA441" s="7"/>
      <c r="AC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X442" s="7"/>
      <c r="AA442" s="7"/>
      <c r="AC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X443" s="7"/>
      <c r="AA443" s="7"/>
      <c r="AC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X444" s="7"/>
      <c r="AA444" s="7"/>
      <c r="AC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X445" s="7"/>
      <c r="AA445" s="7"/>
      <c r="AC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X446" s="7"/>
      <c r="AA446" s="7"/>
      <c r="AC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X447" s="7"/>
      <c r="AA447" s="7"/>
      <c r="AC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X448" s="7"/>
      <c r="AA448" s="7"/>
      <c r="AC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X449" s="7"/>
      <c r="AA449" s="7"/>
      <c r="AC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X450" s="7"/>
      <c r="AA450" s="7"/>
      <c r="AC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X451" s="7"/>
      <c r="AA451" s="7"/>
      <c r="AC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X452" s="7"/>
      <c r="AA452" s="7"/>
      <c r="AC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X453" s="7"/>
      <c r="AA453" s="7"/>
      <c r="AC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X454" s="7"/>
      <c r="AA454" s="7"/>
      <c r="AC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X455" s="7"/>
      <c r="AA455" s="7"/>
      <c r="AC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X456" s="7"/>
      <c r="AA456" s="7"/>
      <c r="AC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X457" s="7"/>
      <c r="AA457" s="7"/>
      <c r="AC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X458" s="7"/>
      <c r="AA458" s="7"/>
      <c r="AC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X459" s="7"/>
      <c r="AA459" s="7"/>
      <c r="AC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X460" s="7"/>
      <c r="AA460" s="7"/>
      <c r="AC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X461" s="7"/>
      <c r="AA461" s="7"/>
      <c r="AC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X462" s="7"/>
      <c r="AA462" s="7"/>
      <c r="AC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X463" s="7"/>
      <c r="AA463" s="7"/>
      <c r="AC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X464" s="7"/>
      <c r="AA464" s="7"/>
      <c r="AC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X465" s="7"/>
      <c r="AA465" s="7"/>
      <c r="AC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X466" s="7"/>
      <c r="AA466" s="7"/>
      <c r="AC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X467" s="7"/>
      <c r="AA467" s="7"/>
      <c r="AC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X468" s="7"/>
      <c r="AA468" s="7"/>
      <c r="AC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X469" s="7"/>
      <c r="AA469" s="7"/>
      <c r="AC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X470" s="7"/>
      <c r="AA470" s="7"/>
      <c r="AC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X471" s="7"/>
      <c r="AA471" s="7"/>
      <c r="AC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X472" s="7"/>
      <c r="AA472" s="7"/>
      <c r="AC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X473" s="7"/>
      <c r="AA473" s="7"/>
      <c r="AC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X474" s="7"/>
      <c r="AA474" s="7"/>
      <c r="AC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X475" s="7"/>
      <c r="AA475" s="7"/>
      <c r="AC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X476" s="7"/>
      <c r="AA476" s="7"/>
      <c r="AC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X477" s="7"/>
      <c r="AA477" s="7"/>
      <c r="AC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X478" s="7"/>
      <c r="AA478" s="7"/>
      <c r="AC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X479" s="7"/>
      <c r="AA479" s="7"/>
      <c r="AC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X480" s="7"/>
      <c r="AA480" s="7"/>
      <c r="AC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X481" s="7"/>
      <c r="AA481" s="7"/>
      <c r="AC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X482" s="7"/>
      <c r="AA482" s="7"/>
      <c r="AC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X483" s="7"/>
      <c r="AA483" s="7"/>
      <c r="AC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X484" s="7"/>
      <c r="AA484" s="7"/>
      <c r="AC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X485" s="7"/>
      <c r="AA485" s="7"/>
      <c r="AC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X486" s="7"/>
      <c r="AA486" s="7"/>
      <c r="AC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X487" s="7"/>
      <c r="AA487" s="7"/>
      <c r="AC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X488" s="7"/>
      <c r="AA488" s="7"/>
      <c r="AC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X489" s="7"/>
      <c r="AA489" s="7"/>
      <c r="AC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X490" s="7"/>
      <c r="AA490" s="7"/>
      <c r="AC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X491" s="7"/>
      <c r="AA491" s="7"/>
      <c r="AC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X492" s="7"/>
      <c r="AA492" s="7"/>
      <c r="AC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X493" s="7"/>
      <c r="AA493" s="7"/>
      <c r="AC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X494" s="7"/>
      <c r="AA494" s="7"/>
      <c r="AC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X495" s="7"/>
      <c r="AA495" s="7"/>
      <c r="AC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X496" s="7"/>
      <c r="AA496" s="7"/>
      <c r="AC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X497" s="7"/>
      <c r="AA497" s="7"/>
      <c r="AC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X498" s="7"/>
      <c r="AA498" s="7"/>
      <c r="AC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X499" s="7"/>
      <c r="AA499" s="7"/>
      <c r="AC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X500" s="7"/>
      <c r="AA500" s="7"/>
      <c r="AC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X501" s="7"/>
      <c r="AA501" s="7"/>
      <c r="AC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X502" s="7"/>
      <c r="AA502" s="7"/>
      <c r="AC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X503" s="7"/>
      <c r="AA503" s="7"/>
      <c r="AC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X504" s="7"/>
      <c r="AA504" s="7"/>
      <c r="AC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X505" s="7"/>
      <c r="AA505" s="7"/>
      <c r="AC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X506" s="7"/>
      <c r="AA506" s="7"/>
      <c r="AC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X507" s="7"/>
      <c r="AA507" s="7"/>
      <c r="AC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X508" s="7"/>
      <c r="AA508" s="7"/>
      <c r="AC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X509" s="7"/>
      <c r="AA509" s="7"/>
      <c r="AC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X510" s="7"/>
      <c r="AA510" s="7"/>
      <c r="AC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X511" s="7"/>
      <c r="AA511" s="7"/>
      <c r="AC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X512" s="7"/>
      <c r="AA512" s="7"/>
      <c r="AC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X513" s="7"/>
      <c r="AA513" s="7"/>
      <c r="AC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X514" s="7"/>
      <c r="AA514" s="7"/>
      <c r="AC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X515" s="7"/>
      <c r="AA515" s="7"/>
      <c r="AC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X516" s="7"/>
      <c r="AA516" s="7"/>
      <c r="AC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X517" s="7"/>
      <c r="AA517" s="7"/>
      <c r="AC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X518" s="7"/>
      <c r="AA518" s="7"/>
      <c r="AC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X519" s="7"/>
      <c r="AA519" s="7"/>
      <c r="AC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X520" s="7"/>
      <c r="AA520" s="7"/>
      <c r="AC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X521" s="7"/>
      <c r="AA521" s="7"/>
      <c r="AC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X522" s="7"/>
      <c r="AA522" s="7"/>
      <c r="AC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X523" s="7"/>
      <c r="AA523" s="7"/>
      <c r="AC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X524" s="7"/>
      <c r="AA524" s="7"/>
      <c r="AC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X525" s="7"/>
      <c r="AA525" s="7"/>
      <c r="AC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X526" s="7"/>
      <c r="AA526" s="7"/>
      <c r="AC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X527" s="7"/>
      <c r="AA527" s="7"/>
      <c r="AC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X528" s="7"/>
      <c r="AA528" s="7"/>
      <c r="AC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X529" s="7"/>
      <c r="AA529" s="7"/>
      <c r="AC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X530" s="7"/>
      <c r="AA530" s="7"/>
      <c r="AC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X531" s="7"/>
      <c r="AA531" s="7"/>
      <c r="AC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X532" s="7"/>
      <c r="AA532" s="7"/>
      <c r="AC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X533" s="7"/>
      <c r="AA533" s="7"/>
      <c r="AC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X534" s="7"/>
      <c r="AA534" s="7"/>
      <c r="AC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X535" s="7"/>
      <c r="AA535" s="7"/>
      <c r="AC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X536" s="7"/>
      <c r="AA536" s="7"/>
      <c r="AC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X537" s="7"/>
      <c r="AA537" s="7"/>
      <c r="AC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X538" s="7"/>
      <c r="AA538" s="7"/>
      <c r="AC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X539" s="7"/>
      <c r="AA539" s="7"/>
      <c r="AC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X540" s="7"/>
      <c r="AA540" s="7"/>
      <c r="AC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X541" s="7"/>
      <c r="AA541" s="7"/>
      <c r="AC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X542" s="7"/>
      <c r="AA542" s="7"/>
      <c r="AC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X543" s="7"/>
      <c r="AA543" s="7"/>
      <c r="AC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X544" s="7"/>
      <c r="AA544" s="7"/>
      <c r="AC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X545" s="7"/>
      <c r="AA545" s="7"/>
      <c r="AC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X546" s="7"/>
      <c r="AA546" s="7"/>
      <c r="AC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X547" s="7"/>
      <c r="AA547" s="7"/>
      <c r="AC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X548" s="7"/>
      <c r="AA548" s="7"/>
      <c r="AC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X549" s="7"/>
      <c r="AA549" s="7"/>
      <c r="AC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X550" s="7"/>
      <c r="AA550" s="7"/>
      <c r="AC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X551" s="7"/>
      <c r="AA551" s="7"/>
      <c r="AC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X552" s="7"/>
      <c r="AA552" s="7"/>
      <c r="AC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X553" s="7"/>
      <c r="AA553" s="7"/>
      <c r="AC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X554" s="7"/>
      <c r="AA554" s="7"/>
      <c r="AC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X555" s="7"/>
      <c r="AA555" s="7"/>
      <c r="AC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X556" s="7"/>
      <c r="AA556" s="7"/>
      <c r="AC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X557" s="7"/>
      <c r="AA557" s="7"/>
      <c r="AC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X558" s="7"/>
      <c r="AA558" s="7"/>
      <c r="AC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X559" s="7"/>
      <c r="AA559" s="7"/>
      <c r="AC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X560" s="7"/>
      <c r="AA560" s="7"/>
      <c r="AC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X561" s="7"/>
      <c r="AA561" s="7"/>
      <c r="AC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X562" s="7"/>
      <c r="AA562" s="7"/>
      <c r="AC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X563" s="7"/>
      <c r="AA563" s="7"/>
      <c r="AC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X564" s="7"/>
      <c r="AA564" s="7"/>
      <c r="AC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X565" s="7"/>
      <c r="AA565" s="7"/>
      <c r="AC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X566" s="7"/>
      <c r="AA566" s="7"/>
      <c r="AC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X567" s="7"/>
      <c r="AA567" s="7"/>
      <c r="AC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X568" s="7"/>
      <c r="AA568" s="7"/>
      <c r="AC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X569" s="7"/>
      <c r="AA569" s="7"/>
      <c r="AC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X570" s="7"/>
      <c r="AA570" s="7"/>
      <c r="AC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X571" s="7"/>
      <c r="AA571" s="7"/>
      <c r="AC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X572" s="7"/>
      <c r="AA572" s="7"/>
      <c r="AC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X573" s="7"/>
      <c r="AA573" s="7"/>
      <c r="AC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X574" s="7"/>
      <c r="AA574" s="7"/>
      <c r="AC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X575" s="7"/>
      <c r="AA575" s="7"/>
      <c r="AC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X576" s="7"/>
      <c r="AA576" s="7"/>
      <c r="AC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X577" s="7"/>
      <c r="AA577" s="7"/>
      <c r="AC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X578" s="7"/>
      <c r="AA578" s="7"/>
      <c r="AC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X579" s="7"/>
      <c r="AA579" s="7"/>
      <c r="AC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X580" s="7"/>
      <c r="AA580" s="7"/>
      <c r="AC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X581" s="7"/>
      <c r="AA581" s="7"/>
      <c r="AC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X582" s="7"/>
      <c r="AA582" s="7"/>
      <c r="AC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X583" s="7"/>
      <c r="AA583" s="7"/>
      <c r="AC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X584" s="7"/>
      <c r="AA584" s="7"/>
      <c r="AC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X585" s="7"/>
      <c r="AA585" s="7"/>
      <c r="AC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X586" s="7"/>
      <c r="AA586" s="7"/>
      <c r="AC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X587" s="7"/>
      <c r="AA587" s="7"/>
      <c r="AC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X588" s="7"/>
      <c r="AA588" s="7"/>
      <c r="AC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X589" s="7"/>
      <c r="AA589" s="7"/>
      <c r="AC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X590" s="7"/>
      <c r="AA590" s="7"/>
      <c r="AC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X591" s="7"/>
      <c r="AA591" s="7"/>
      <c r="AC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X592" s="7"/>
      <c r="AA592" s="7"/>
      <c r="AC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X593" s="7"/>
      <c r="AA593" s="7"/>
      <c r="AC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X594" s="7"/>
      <c r="AA594" s="7"/>
      <c r="AC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X595" s="7"/>
      <c r="AA595" s="7"/>
      <c r="AC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X596" s="7"/>
      <c r="AA596" s="7"/>
      <c r="AC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X597" s="7"/>
      <c r="AA597" s="7"/>
      <c r="AC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X598" s="7"/>
      <c r="AA598" s="7"/>
      <c r="AC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X599" s="7"/>
      <c r="AA599" s="7"/>
      <c r="AC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X600" s="7"/>
      <c r="AA600" s="7"/>
      <c r="AC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X601" s="7"/>
      <c r="AA601" s="7"/>
      <c r="AC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X602" s="7"/>
      <c r="AA602" s="7"/>
      <c r="AC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X603" s="7"/>
      <c r="AA603" s="7"/>
      <c r="AC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X604" s="7"/>
      <c r="AA604" s="7"/>
      <c r="AC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X605" s="7"/>
      <c r="AA605" s="7"/>
      <c r="AC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X606" s="7"/>
      <c r="AA606" s="7"/>
      <c r="AC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X607" s="7"/>
      <c r="AA607" s="7"/>
      <c r="AC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X608" s="7"/>
      <c r="AA608" s="7"/>
      <c r="AC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X609" s="7"/>
      <c r="AA609" s="7"/>
      <c r="AC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X610" s="7"/>
      <c r="AA610" s="7"/>
      <c r="AC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X611" s="7"/>
      <c r="AA611" s="7"/>
      <c r="AC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X612" s="7"/>
      <c r="AA612" s="7"/>
      <c r="AC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X613" s="7"/>
      <c r="AA613" s="7"/>
      <c r="AC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X614" s="7"/>
      <c r="AA614" s="7"/>
      <c r="AC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X615" s="7"/>
      <c r="AA615" s="7"/>
      <c r="AC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X616" s="7"/>
      <c r="AA616" s="7"/>
      <c r="AC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X617" s="7"/>
      <c r="AA617" s="7"/>
      <c r="AC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X618" s="7"/>
      <c r="AA618" s="7"/>
      <c r="AC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X619" s="7"/>
      <c r="AA619" s="7"/>
      <c r="AC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X620" s="7"/>
      <c r="AA620" s="7"/>
      <c r="AC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X621" s="7"/>
      <c r="AA621" s="7"/>
      <c r="AC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X622" s="7"/>
      <c r="AA622" s="7"/>
      <c r="AC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X623" s="7"/>
      <c r="AA623" s="7"/>
      <c r="AC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X624" s="7"/>
      <c r="AA624" s="7"/>
      <c r="AC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X625" s="7"/>
      <c r="AA625" s="7"/>
      <c r="AC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X626" s="7"/>
      <c r="AA626" s="7"/>
      <c r="AC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X627" s="7"/>
      <c r="AA627" s="7"/>
      <c r="AC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X628" s="7"/>
      <c r="AA628" s="7"/>
      <c r="AC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X629" s="7"/>
      <c r="AA629" s="7"/>
      <c r="AC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X630" s="7"/>
      <c r="AA630" s="7"/>
      <c r="AC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X631" s="7"/>
      <c r="AA631" s="7"/>
      <c r="AC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X632" s="7"/>
      <c r="AA632" s="7"/>
      <c r="AC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X633" s="7"/>
      <c r="AA633" s="7"/>
      <c r="AC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X634" s="7"/>
      <c r="AA634" s="7"/>
      <c r="AC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X635" s="7"/>
      <c r="AA635" s="7"/>
      <c r="AC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X636" s="7"/>
      <c r="AA636" s="7"/>
      <c r="AC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X637" s="7"/>
      <c r="AA637" s="7"/>
      <c r="AC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X638" s="7"/>
      <c r="AA638" s="7"/>
      <c r="AC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X639" s="7"/>
      <c r="AA639" s="7"/>
      <c r="AC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X640" s="7"/>
      <c r="AA640" s="7"/>
      <c r="AC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X641" s="7"/>
      <c r="AA641" s="7"/>
      <c r="AC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X642" s="7"/>
      <c r="AA642" s="7"/>
      <c r="AC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X643" s="7"/>
      <c r="AA643" s="7"/>
      <c r="AC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X644" s="7"/>
      <c r="AA644" s="7"/>
      <c r="AC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X645" s="7"/>
      <c r="AA645" s="7"/>
      <c r="AC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X646" s="7"/>
      <c r="AA646" s="7"/>
      <c r="AC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X647" s="7"/>
      <c r="AA647" s="7"/>
      <c r="AC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X648" s="7"/>
      <c r="AA648" s="7"/>
      <c r="AC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X649" s="7"/>
      <c r="AA649" s="7"/>
      <c r="AC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X650" s="7"/>
      <c r="AA650" s="7"/>
      <c r="AC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X651" s="7"/>
      <c r="AA651" s="7"/>
      <c r="AC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X652" s="7"/>
      <c r="AA652" s="7"/>
      <c r="AC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X653" s="7"/>
      <c r="AA653" s="7"/>
      <c r="AC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X654" s="7"/>
      <c r="AA654" s="7"/>
      <c r="AC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X655" s="7"/>
      <c r="AA655" s="7"/>
      <c r="AC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X656" s="7"/>
      <c r="AA656" s="7"/>
      <c r="AC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X657" s="7"/>
      <c r="AA657" s="7"/>
      <c r="AC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X658" s="7"/>
      <c r="AA658" s="7"/>
      <c r="AC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X659" s="7"/>
      <c r="AA659" s="7"/>
      <c r="AC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X660" s="7"/>
      <c r="AA660" s="7"/>
      <c r="AC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X661" s="7"/>
      <c r="AA661" s="7"/>
      <c r="AC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X662" s="7"/>
      <c r="AA662" s="7"/>
      <c r="AC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X663" s="7"/>
      <c r="AA663" s="7"/>
      <c r="AC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X664" s="7"/>
      <c r="AA664" s="7"/>
      <c r="AC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X665" s="7"/>
      <c r="AA665" s="7"/>
      <c r="AC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X666" s="7"/>
      <c r="AA666" s="7"/>
      <c r="AC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X667" s="7"/>
      <c r="AA667" s="7"/>
      <c r="AC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X668" s="7"/>
      <c r="AA668" s="7"/>
      <c r="AC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X669" s="7"/>
      <c r="AA669" s="7"/>
      <c r="AC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X670" s="7"/>
      <c r="AA670" s="7"/>
      <c r="AC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X671" s="7"/>
      <c r="AA671" s="7"/>
      <c r="AC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X672" s="7"/>
      <c r="AA672" s="7"/>
      <c r="AC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X673" s="7"/>
      <c r="AA673" s="7"/>
      <c r="AC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X674" s="7"/>
      <c r="AA674" s="7"/>
      <c r="AC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X675" s="7"/>
      <c r="AA675" s="7"/>
      <c r="AC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X676" s="7"/>
      <c r="AA676" s="7"/>
      <c r="AC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X677" s="7"/>
      <c r="AA677" s="7"/>
      <c r="AC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X678" s="7"/>
      <c r="AA678" s="7"/>
      <c r="AC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X679" s="7"/>
      <c r="AA679" s="7"/>
      <c r="AC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X680" s="7"/>
      <c r="AA680" s="7"/>
      <c r="AC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X681" s="7"/>
      <c r="AA681" s="7"/>
      <c r="AC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X682" s="7"/>
      <c r="AA682" s="7"/>
      <c r="AC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X683" s="7"/>
      <c r="AA683" s="7"/>
      <c r="AC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X684" s="7"/>
      <c r="AA684" s="7"/>
      <c r="AC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X685" s="7"/>
      <c r="AA685" s="7"/>
      <c r="AC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X686" s="7"/>
      <c r="AA686" s="7"/>
      <c r="AC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X687" s="7"/>
      <c r="AA687" s="7"/>
      <c r="AC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X688" s="7"/>
      <c r="AA688" s="7"/>
      <c r="AC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X689" s="7"/>
      <c r="AA689" s="7"/>
      <c r="AC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X690" s="7"/>
      <c r="AA690" s="7"/>
      <c r="AC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X691" s="7"/>
      <c r="AA691" s="7"/>
      <c r="AC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X692" s="7"/>
      <c r="AA692" s="7"/>
      <c r="AC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X693" s="7"/>
      <c r="AA693" s="7"/>
      <c r="AC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X694" s="7"/>
      <c r="AA694" s="7"/>
      <c r="AC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X695" s="7"/>
      <c r="AA695" s="7"/>
      <c r="AC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X696" s="7"/>
      <c r="AA696" s="7"/>
      <c r="AC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X697" s="7"/>
      <c r="AA697" s="7"/>
      <c r="AC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X698" s="7"/>
      <c r="AA698" s="7"/>
      <c r="AC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X699" s="7"/>
      <c r="AA699" s="7"/>
      <c r="AC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X700" s="7"/>
      <c r="AA700" s="7"/>
      <c r="AC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X701" s="7"/>
      <c r="AA701" s="7"/>
      <c r="AC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X702" s="7"/>
      <c r="AA702" s="7"/>
      <c r="AC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X703" s="7"/>
      <c r="AA703" s="7"/>
      <c r="AC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X704" s="7"/>
      <c r="AA704" s="7"/>
      <c r="AC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X705" s="7"/>
      <c r="AA705" s="7"/>
      <c r="AC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X706" s="7"/>
      <c r="AA706" s="7"/>
      <c r="AC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X707" s="7"/>
      <c r="AA707" s="7"/>
      <c r="AC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X708" s="7"/>
      <c r="AA708" s="7"/>
      <c r="AC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X709" s="7"/>
      <c r="AA709" s="7"/>
      <c r="AC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X710" s="7"/>
      <c r="AA710" s="7"/>
      <c r="AC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X711" s="7"/>
      <c r="AA711" s="7"/>
      <c r="AC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X712" s="7"/>
      <c r="AA712" s="7"/>
      <c r="AC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X713" s="7"/>
      <c r="AA713" s="7"/>
      <c r="AC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X714" s="7"/>
      <c r="AA714" s="7"/>
      <c r="AC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X715" s="7"/>
      <c r="AA715" s="7"/>
      <c r="AC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X716" s="7"/>
      <c r="AA716" s="7"/>
      <c r="AC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X717" s="7"/>
      <c r="AA717" s="7"/>
      <c r="AC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X718" s="7"/>
      <c r="AA718" s="7"/>
      <c r="AC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X719" s="7"/>
      <c r="AA719" s="7"/>
      <c r="AC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X720" s="7"/>
      <c r="AA720" s="7"/>
      <c r="AC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X721" s="7"/>
      <c r="AA721" s="7"/>
      <c r="AC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X722" s="7"/>
      <c r="AA722" s="7"/>
      <c r="AC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X723" s="7"/>
      <c r="AA723" s="7"/>
      <c r="AC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X724" s="7"/>
      <c r="AA724" s="7"/>
      <c r="AC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X725" s="7"/>
      <c r="AA725" s="7"/>
      <c r="AC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X726" s="7"/>
      <c r="AA726" s="7"/>
      <c r="AC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X727" s="7"/>
      <c r="AA727" s="7"/>
      <c r="AC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X728" s="7"/>
      <c r="AA728" s="7"/>
      <c r="AC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X729" s="7"/>
      <c r="AA729" s="7"/>
      <c r="AC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X730" s="7"/>
      <c r="AA730" s="7"/>
      <c r="AC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X731" s="7"/>
      <c r="AA731" s="7"/>
      <c r="AC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X732" s="7"/>
      <c r="AA732" s="7"/>
      <c r="AC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X733" s="7"/>
      <c r="AA733" s="7"/>
      <c r="AC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X734" s="7"/>
      <c r="AA734" s="7"/>
      <c r="AC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X735" s="7"/>
      <c r="AA735" s="7"/>
      <c r="AC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X736" s="7"/>
      <c r="AA736" s="7"/>
      <c r="AC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X737" s="7"/>
      <c r="AA737" s="7"/>
      <c r="AC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X738" s="7"/>
      <c r="AA738" s="7"/>
      <c r="AC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X739" s="7"/>
      <c r="AA739" s="7"/>
      <c r="AC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X740" s="7"/>
      <c r="AA740" s="7"/>
      <c r="AC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X741" s="7"/>
      <c r="AA741" s="7"/>
      <c r="AC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X742" s="7"/>
      <c r="AA742" s="7"/>
      <c r="AC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X743" s="7"/>
      <c r="AA743" s="7"/>
      <c r="AC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X744" s="7"/>
      <c r="AA744" s="7"/>
      <c r="AC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X745" s="7"/>
      <c r="AA745" s="7"/>
      <c r="AC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X746" s="7"/>
      <c r="AA746" s="7"/>
      <c r="AC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X747" s="7"/>
      <c r="AA747" s="7"/>
      <c r="AC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X748" s="7"/>
      <c r="AA748" s="7"/>
      <c r="AC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X749" s="7"/>
      <c r="AA749" s="7"/>
      <c r="AC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X750" s="7"/>
      <c r="AA750" s="7"/>
      <c r="AC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X751" s="7"/>
      <c r="AA751" s="7"/>
      <c r="AC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X752" s="7"/>
      <c r="AA752" s="7"/>
      <c r="AC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X753" s="7"/>
      <c r="AA753" s="7"/>
      <c r="AC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X754" s="7"/>
      <c r="AA754" s="7"/>
      <c r="AC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X755" s="7"/>
      <c r="AA755" s="7"/>
      <c r="AC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X756" s="7"/>
      <c r="AA756" s="7"/>
      <c r="AC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X757" s="7"/>
      <c r="AA757" s="7"/>
      <c r="AC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X758" s="7"/>
      <c r="AA758" s="7"/>
      <c r="AC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X759" s="7"/>
      <c r="AA759" s="7"/>
      <c r="AC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X760" s="7"/>
      <c r="AA760" s="7"/>
      <c r="AC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X761" s="7"/>
      <c r="AA761" s="7"/>
      <c r="AC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X762" s="7"/>
      <c r="AA762" s="7"/>
      <c r="AC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X763" s="7"/>
      <c r="AA763" s="7"/>
      <c r="AC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X764" s="7"/>
      <c r="AA764" s="7"/>
      <c r="AC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X765" s="7"/>
      <c r="AA765" s="7"/>
      <c r="AC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X766" s="7"/>
      <c r="AA766" s="7"/>
      <c r="AC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X767" s="7"/>
      <c r="AA767" s="7"/>
      <c r="AC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X768" s="7"/>
      <c r="AA768" s="7"/>
      <c r="AC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X769" s="7"/>
      <c r="AA769" s="7"/>
      <c r="AC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X770" s="7"/>
      <c r="AA770" s="7"/>
      <c r="AC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X771" s="7"/>
      <c r="AA771" s="7"/>
      <c r="AC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X772" s="7"/>
      <c r="AA772" s="7"/>
      <c r="AC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X773" s="7"/>
      <c r="AA773" s="7"/>
      <c r="AC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X774" s="7"/>
      <c r="AA774" s="7"/>
      <c r="AC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X775" s="7"/>
      <c r="AA775" s="7"/>
      <c r="AC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X776" s="7"/>
      <c r="AA776" s="7"/>
      <c r="AC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X777" s="7"/>
      <c r="AA777" s="7"/>
      <c r="AC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X778" s="7"/>
      <c r="AA778" s="7"/>
      <c r="AC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X779" s="7"/>
      <c r="AA779" s="7"/>
      <c r="AC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X780" s="7"/>
      <c r="AA780" s="7"/>
      <c r="AC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X781" s="7"/>
      <c r="AA781" s="7"/>
      <c r="AC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X782" s="7"/>
      <c r="AA782" s="7"/>
      <c r="AC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X783" s="7"/>
      <c r="AA783" s="7"/>
      <c r="AC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X784" s="7"/>
      <c r="AA784" s="7"/>
      <c r="AC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X785" s="7"/>
      <c r="AA785" s="7"/>
      <c r="AC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X786" s="7"/>
      <c r="AA786" s="7"/>
      <c r="AC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X787" s="7"/>
      <c r="AA787" s="7"/>
      <c r="AC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X788" s="7"/>
      <c r="AA788" s="7"/>
      <c r="AC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X789" s="7"/>
      <c r="AA789" s="7"/>
      <c r="AC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X790" s="7"/>
      <c r="AA790" s="7"/>
      <c r="AC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X791" s="7"/>
      <c r="AA791" s="7"/>
      <c r="AC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X792" s="7"/>
      <c r="AA792" s="7"/>
      <c r="AC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X793" s="7"/>
      <c r="AA793" s="7"/>
      <c r="AC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X794" s="7"/>
      <c r="AA794" s="7"/>
      <c r="AC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X795" s="7"/>
      <c r="AA795" s="7"/>
      <c r="AC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X796" s="7"/>
      <c r="AA796" s="7"/>
      <c r="AC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X797" s="7"/>
      <c r="AA797" s="7"/>
      <c r="AC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X798" s="7"/>
      <c r="AA798" s="7"/>
      <c r="AC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X799" s="7"/>
      <c r="AA799" s="7"/>
      <c r="AC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X800" s="7"/>
      <c r="AA800" s="7"/>
      <c r="AC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X801" s="7"/>
      <c r="AA801" s="7"/>
      <c r="AC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X802" s="7"/>
      <c r="AA802" s="7"/>
      <c r="AC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X803" s="7"/>
      <c r="AA803" s="7"/>
      <c r="AC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X804" s="7"/>
      <c r="AA804" s="7"/>
      <c r="AC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X805" s="7"/>
      <c r="AA805" s="7"/>
      <c r="AC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X806" s="7"/>
      <c r="AA806" s="7"/>
      <c r="AC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X807" s="7"/>
      <c r="AA807" s="7"/>
      <c r="AC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X808" s="7"/>
      <c r="AA808" s="7"/>
      <c r="AC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X809" s="7"/>
      <c r="AA809" s="7"/>
      <c r="AC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X810" s="7"/>
      <c r="AA810" s="7"/>
      <c r="AC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X811" s="7"/>
      <c r="AA811" s="7"/>
      <c r="AC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X812" s="7"/>
      <c r="AA812" s="7"/>
      <c r="AC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X813" s="7"/>
      <c r="AA813" s="7"/>
      <c r="AC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X814" s="7"/>
      <c r="AA814" s="7"/>
      <c r="AC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X815" s="7"/>
      <c r="AA815" s="7"/>
      <c r="AC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X816" s="7"/>
      <c r="AA816" s="7"/>
      <c r="AC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X817" s="7"/>
      <c r="AA817" s="7"/>
      <c r="AC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X818" s="7"/>
      <c r="AA818" s="7"/>
      <c r="AC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X819" s="7"/>
      <c r="AA819" s="7"/>
      <c r="AC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X820" s="7"/>
      <c r="AA820" s="7"/>
      <c r="AC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X821" s="7"/>
      <c r="AA821" s="7"/>
      <c r="AC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X822" s="7"/>
      <c r="AA822" s="7"/>
      <c r="AC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X823" s="7"/>
      <c r="AA823" s="7"/>
      <c r="AC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X824" s="7"/>
      <c r="AA824" s="7"/>
      <c r="AC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X825" s="7"/>
      <c r="AA825" s="7"/>
      <c r="AC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X826" s="7"/>
      <c r="AA826" s="7"/>
      <c r="AC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X827" s="7"/>
      <c r="AA827" s="7"/>
      <c r="AC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X828" s="7"/>
      <c r="AA828" s="7"/>
      <c r="AC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X829" s="7"/>
      <c r="AA829" s="7"/>
      <c r="AC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X830" s="7"/>
      <c r="AA830" s="7"/>
      <c r="AC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X831" s="7"/>
      <c r="AA831" s="7"/>
      <c r="AC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X832" s="7"/>
      <c r="AA832" s="7"/>
      <c r="AC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X833" s="7"/>
      <c r="AA833" s="7"/>
      <c r="AC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X834" s="7"/>
      <c r="AA834" s="7"/>
      <c r="AC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X835" s="7"/>
      <c r="AA835" s="7"/>
      <c r="AC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X836" s="7"/>
      <c r="AA836" s="7"/>
      <c r="AC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X837" s="7"/>
      <c r="AA837" s="7"/>
      <c r="AC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X838" s="7"/>
      <c r="AA838" s="7"/>
      <c r="AC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X839" s="7"/>
      <c r="AA839" s="7"/>
      <c r="AC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X840" s="7"/>
      <c r="AA840" s="7"/>
      <c r="AC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X841" s="7"/>
      <c r="AA841" s="7"/>
      <c r="AC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X842" s="7"/>
      <c r="AA842" s="7"/>
      <c r="AC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X843" s="7"/>
      <c r="AA843" s="7"/>
      <c r="AC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X844" s="7"/>
      <c r="AA844" s="7"/>
      <c r="AC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X845" s="7"/>
      <c r="AA845" s="7"/>
      <c r="AC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X846" s="7"/>
      <c r="AA846" s="7"/>
      <c r="AC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X847" s="7"/>
      <c r="AA847" s="7"/>
      <c r="AC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X848" s="7"/>
      <c r="AA848" s="7"/>
      <c r="AC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X849" s="7"/>
      <c r="AA849" s="7"/>
      <c r="AC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X850" s="7"/>
      <c r="AA850" s="7"/>
      <c r="AC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X851" s="7"/>
      <c r="AA851" s="7"/>
      <c r="AC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X852" s="7"/>
      <c r="AA852" s="7"/>
      <c r="AC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X853" s="7"/>
      <c r="AA853" s="7"/>
      <c r="AC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X854" s="7"/>
      <c r="AA854" s="7"/>
      <c r="AC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X855" s="7"/>
      <c r="AA855" s="7"/>
      <c r="AC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X856" s="7"/>
      <c r="AA856" s="7"/>
      <c r="AC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X857" s="7"/>
      <c r="AA857" s="7"/>
      <c r="AC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X858" s="7"/>
      <c r="AA858" s="7"/>
      <c r="AC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X859" s="7"/>
      <c r="AA859" s="7"/>
      <c r="AC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X860" s="7"/>
      <c r="AA860" s="7"/>
      <c r="AC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X861" s="7"/>
      <c r="AA861" s="7"/>
      <c r="AC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X862" s="7"/>
      <c r="AA862" s="7"/>
      <c r="AC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X863" s="7"/>
      <c r="AA863" s="7"/>
      <c r="AC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X864" s="7"/>
      <c r="AA864" s="7"/>
      <c r="AC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X865" s="7"/>
      <c r="AA865" s="7"/>
      <c r="AC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X866" s="7"/>
      <c r="AA866" s="7"/>
      <c r="AC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X867" s="7"/>
      <c r="AA867" s="7"/>
      <c r="AC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X868" s="7"/>
      <c r="AA868" s="7"/>
      <c r="AC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X869" s="7"/>
      <c r="AA869" s="7"/>
      <c r="AC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X870" s="7"/>
      <c r="AA870" s="7"/>
      <c r="AC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X871" s="7"/>
      <c r="AA871" s="7"/>
      <c r="AC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X872" s="7"/>
      <c r="AA872" s="7"/>
      <c r="AC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X873" s="7"/>
      <c r="AA873" s="7"/>
      <c r="AC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X874" s="7"/>
      <c r="AA874" s="7"/>
      <c r="AC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X875" s="7"/>
      <c r="AA875" s="7"/>
      <c r="AC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X876" s="7"/>
      <c r="AA876" s="7"/>
      <c r="AC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X877" s="7"/>
      <c r="AA877" s="7"/>
      <c r="AC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X878" s="7"/>
      <c r="AA878" s="7"/>
      <c r="AC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X879" s="7"/>
      <c r="AA879" s="7"/>
      <c r="AC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X880" s="7"/>
      <c r="AA880" s="7"/>
      <c r="AC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X881" s="7"/>
      <c r="AA881" s="7"/>
      <c r="AC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X882" s="7"/>
      <c r="AA882" s="7"/>
      <c r="AC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X883" s="7"/>
      <c r="AA883" s="7"/>
      <c r="AC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X884" s="7"/>
      <c r="AA884" s="7"/>
      <c r="AC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X885" s="7"/>
      <c r="AA885" s="7"/>
      <c r="AC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X886" s="7"/>
      <c r="AA886" s="7"/>
      <c r="AC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X887" s="7"/>
      <c r="AA887" s="7"/>
      <c r="AC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X888" s="7"/>
      <c r="AA888" s="7"/>
      <c r="AC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X889" s="7"/>
      <c r="AA889" s="7"/>
      <c r="AC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X890" s="7"/>
      <c r="AA890" s="7"/>
      <c r="AC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X891" s="7"/>
      <c r="AA891" s="7"/>
      <c r="AC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X892" s="7"/>
      <c r="AA892" s="7"/>
      <c r="AC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X893" s="7"/>
      <c r="AA893" s="7"/>
      <c r="AC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X894" s="7"/>
      <c r="AA894" s="7"/>
      <c r="AC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X895" s="7"/>
      <c r="AA895" s="7"/>
      <c r="AC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X896" s="7"/>
      <c r="AA896" s="7"/>
      <c r="AC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X897" s="7"/>
      <c r="AA897" s="7"/>
      <c r="AC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X898" s="7"/>
      <c r="AA898" s="7"/>
      <c r="AC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X899" s="7"/>
      <c r="AA899" s="7"/>
      <c r="AC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X900" s="7"/>
      <c r="AA900" s="7"/>
      <c r="AC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X901" s="7"/>
      <c r="AA901" s="7"/>
      <c r="AC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X902" s="7"/>
      <c r="AA902" s="7"/>
      <c r="AC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X903" s="7"/>
      <c r="AA903" s="7"/>
      <c r="AC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X904" s="7"/>
      <c r="AA904" s="7"/>
      <c r="AC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X905" s="7"/>
      <c r="AA905" s="7"/>
      <c r="AC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X906" s="7"/>
      <c r="AA906" s="7"/>
      <c r="AC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X907" s="7"/>
      <c r="AA907" s="7"/>
      <c r="AC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X908" s="7"/>
      <c r="AA908" s="7"/>
      <c r="AC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X909" s="7"/>
      <c r="AA909" s="7"/>
      <c r="AC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X910" s="7"/>
      <c r="AA910" s="7"/>
      <c r="AC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X911" s="7"/>
      <c r="AA911" s="7"/>
      <c r="AC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X912" s="7"/>
      <c r="AA912" s="7"/>
      <c r="AC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X913" s="7"/>
      <c r="AA913" s="7"/>
      <c r="AC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X914" s="7"/>
      <c r="AA914" s="7"/>
      <c r="AC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X915" s="7"/>
      <c r="AA915" s="7"/>
      <c r="AC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X916" s="7"/>
      <c r="AA916" s="7"/>
      <c r="AC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X917" s="7"/>
      <c r="AA917" s="7"/>
      <c r="AC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X918" s="7"/>
      <c r="AA918" s="7"/>
      <c r="AC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X919" s="7"/>
      <c r="AA919" s="7"/>
      <c r="AC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X920" s="7"/>
      <c r="AA920" s="7"/>
      <c r="AC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X921" s="7"/>
      <c r="AA921" s="7"/>
      <c r="AC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X922" s="7"/>
      <c r="AA922" s="7"/>
      <c r="AC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X923" s="7"/>
      <c r="AA923" s="7"/>
      <c r="AC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X924" s="7"/>
      <c r="AA924" s="7"/>
      <c r="AC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X925" s="7"/>
      <c r="AA925" s="7"/>
      <c r="AC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X926" s="7"/>
      <c r="AA926" s="7"/>
      <c r="AC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X927" s="7"/>
      <c r="AA927" s="7"/>
      <c r="AC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X928" s="7"/>
      <c r="AA928" s="7"/>
      <c r="AC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X929" s="7"/>
      <c r="AA929" s="7"/>
      <c r="AC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X930" s="7"/>
      <c r="AA930" s="7"/>
      <c r="AC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X931" s="7"/>
      <c r="AA931" s="7"/>
      <c r="AC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X932" s="7"/>
      <c r="AA932" s="7"/>
      <c r="AC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X933" s="7"/>
      <c r="AA933" s="7"/>
      <c r="AC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X934" s="7"/>
      <c r="AA934" s="7"/>
      <c r="AC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X935" s="7"/>
      <c r="AA935" s="7"/>
      <c r="AC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X936" s="7"/>
      <c r="AA936" s="7"/>
      <c r="AC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X937" s="7"/>
      <c r="AA937" s="7"/>
      <c r="AC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X938" s="7"/>
      <c r="AA938" s="7"/>
      <c r="AC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X939" s="7"/>
      <c r="AA939" s="7"/>
      <c r="AC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X940" s="7"/>
      <c r="AA940" s="7"/>
      <c r="AC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X941" s="7"/>
      <c r="AA941" s="7"/>
      <c r="AC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X942" s="7"/>
      <c r="AA942" s="7"/>
      <c r="AC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X943" s="7"/>
      <c r="AA943" s="7"/>
      <c r="AC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X944" s="7"/>
      <c r="AA944" s="7"/>
      <c r="AC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X945" s="7"/>
      <c r="AA945" s="7"/>
      <c r="AC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X946" s="7"/>
      <c r="AA946" s="7"/>
      <c r="AC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X947" s="7"/>
      <c r="AA947" s="7"/>
      <c r="AC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X948" s="7"/>
      <c r="AA948" s="7"/>
      <c r="AC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X949" s="7"/>
      <c r="AA949" s="7"/>
      <c r="AC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X950" s="7"/>
      <c r="AA950" s="7"/>
      <c r="AC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X951" s="7"/>
      <c r="AA951" s="7"/>
      <c r="AC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X952" s="7"/>
      <c r="AA952" s="7"/>
      <c r="AC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X953" s="7"/>
      <c r="AA953" s="7"/>
      <c r="AC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X954" s="7"/>
      <c r="AA954" s="7"/>
      <c r="AC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X955" s="7"/>
      <c r="AA955" s="7"/>
      <c r="AC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X956" s="7"/>
      <c r="AA956" s="7"/>
      <c r="AC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X957" s="7"/>
      <c r="AA957" s="7"/>
      <c r="AC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X958" s="7"/>
      <c r="AA958" s="7"/>
      <c r="AC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X959" s="7"/>
      <c r="AA959" s="7"/>
      <c r="AC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X960" s="7"/>
      <c r="AA960" s="7"/>
      <c r="AC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X961" s="7"/>
      <c r="AA961" s="7"/>
      <c r="AC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X962" s="7"/>
      <c r="AA962" s="7"/>
      <c r="AC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X963" s="7"/>
      <c r="AA963" s="7"/>
      <c r="AC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X964" s="7"/>
      <c r="AA964" s="7"/>
      <c r="AC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X965" s="7"/>
      <c r="AA965" s="7"/>
      <c r="AC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X966" s="7"/>
      <c r="AA966" s="7"/>
      <c r="AC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X967" s="7"/>
      <c r="AA967" s="7"/>
      <c r="AC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X968" s="7"/>
      <c r="AA968" s="7"/>
      <c r="AC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X969" s="7"/>
      <c r="AA969" s="7"/>
      <c r="AC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X970" s="7"/>
      <c r="AA970" s="7"/>
      <c r="AC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X971" s="7"/>
      <c r="AA971" s="7"/>
      <c r="AC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X972" s="7"/>
      <c r="AA972" s="7"/>
      <c r="AC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X973" s="7"/>
      <c r="AA973" s="7"/>
      <c r="AC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X974" s="7"/>
      <c r="AA974" s="7"/>
      <c r="AC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X975" s="7"/>
      <c r="AA975" s="7"/>
      <c r="AC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X976" s="7"/>
      <c r="AA976" s="7"/>
      <c r="AC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X977" s="7"/>
      <c r="AA977" s="7"/>
      <c r="AC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X978" s="7"/>
      <c r="AA978" s="7"/>
      <c r="AC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X979" s="7"/>
      <c r="AA979" s="7"/>
      <c r="AC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X980" s="7"/>
      <c r="AA980" s="7"/>
      <c r="AC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X981" s="7"/>
      <c r="AA981" s="7"/>
      <c r="AC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X982" s="7"/>
      <c r="AA982" s="7"/>
      <c r="AC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X983" s="7"/>
      <c r="AA983" s="7"/>
      <c r="AC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X984" s="7"/>
      <c r="AA984" s="7"/>
      <c r="AC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X985" s="7"/>
      <c r="AA985" s="7"/>
      <c r="AC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X986" s="7"/>
      <c r="AA986" s="7"/>
      <c r="AC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X987" s="7"/>
      <c r="AA987" s="7"/>
      <c r="AC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X988" s="7"/>
      <c r="AA988" s="7"/>
      <c r="AC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X989" s="7"/>
      <c r="AA989" s="7"/>
      <c r="AC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X990" s="7"/>
      <c r="AA990" s="7"/>
      <c r="AC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X991" s="7"/>
      <c r="AA991" s="7"/>
      <c r="AC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X992" s="7"/>
      <c r="AA992" s="7"/>
      <c r="AC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X993" s="7"/>
      <c r="AA993" s="7"/>
      <c r="AC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X994" s="7"/>
      <c r="AA994" s="7"/>
      <c r="AC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X995" s="7"/>
      <c r="AA995" s="7"/>
      <c r="AC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X996" s="7"/>
      <c r="AA996" s="7"/>
      <c r="AC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X997" s="7"/>
      <c r="AA997" s="7"/>
      <c r="AC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X998" s="7"/>
      <c r="AA998" s="7"/>
      <c r="AC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X999" s="7"/>
      <c r="AA999" s="7"/>
      <c r="AC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X1000" s="7"/>
      <c r="AA1000" s="7"/>
      <c r="AC1000" s="7"/>
    </row>
  </sheetData>
  <mergeCells count="5">
    <mergeCell ref="A1:H1"/>
    <mergeCell ref="B2:E2"/>
    <mergeCell ref="I2:L2"/>
    <mergeCell ref="M2:O2"/>
    <mergeCell ref="Q2:S2"/>
  </mergeCell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0"/>
    <col customWidth="1" min="2" max="2" width="12.38"/>
    <col customWidth="1" hidden="1" min="3" max="3" width="12.63"/>
    <col customWidth="1" min="4" max="4" width="11.25"/>
    <col customWidth="1" min="5" max="5" width="10.88"/>
    <col customWidth="1" min="6" max="6" width="8.88"/>
    <col customWidth="1" min="7" max="7" width="9.88"/>
    <col customWidth="1" min="8" max="8" width="9.75"/>
    <col customWidth="1" min="9" max="9" width="10.63"/>
    <col customWidth="1" hidden="1" min="10" max="10" width="12.63"/>
    <col customWidth="1" min="11" max="11" width="12.0"/>
    <col customWidth="1" min="12" max="12" width="11.13"/>
    <col customWidth="1" min="13" max="13" width="12.63"/>
    <col customWidth="1" hidden="1" min="14" max="19" width="12.63" outlineLevel="1"/>
  </cols>
  <sheetData>
    <row r="1" ht="25.5" customHeight="1">
      <c r="A1" s="165"/>
      <c r="B1" s="165"/>
      <c r="C1" s="165"/>
      <c r="D1" s="165"/>
      <c r="E1" s="165"/>
      <c r="F1" s="165"/>
      <c r="G1" s="165"/>
      <c r="H1" s="165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</row>
    <row r="2" ht="25.5" customHeight="1">
      <c r="A2" s="274" t="s">
        <v>24</v>
      </c>
      <c r="B2" s="275"/>
      <c r="C2" s="275"/>
      <c r="D2" s="275"/>
      <c r="E2" s="275"/>
      <c r="F2" s="275"/>
      <c r="G2" s="275"/>
      <c r="H2" s="276"/>
      <c r="I2" s="277" t="s">
        <v>104</v>
      </c>
      <c r="J2" s="278"/>
      <c r="K2" s="278"/>
      <c r="L2" s="279"/>
      <c r="M2" s="280"/>
      <c r="N2" s="282" t="s">
        <v>106</v>
      </c>
      <c r="O2" s="171"/>
      <c r="P2" s="172"/>
      <c r="Q2" s="283" t="s">
        <v>108</v>
      </c>
      <c r="R2" s="171"/>
      <c r="S2" s="172"/>
      <c r="T2" s="166"/>
      <c r="U2" s="166"/>
      <c r="V2" s="166"/>
      <c r="W2" s="166"/>
      <c r="X2" s="166"/>
      <c r="Y2" s="166"/>
      <c r="Z2" s="166"/>
      <c r="AA2" s="166"/>
      <c r="AB2" s="166"/>
      <c r="AC2" s="166"/>
    </row>
    <row r="3" ht="59.25" customHeight="1">
      <c r="A3" s="285" t="s">
        <v>118</v>
      </c>
      <c r="B3" s="181" t="s">
        <v>119</v>
      </c>
      <c r="C3" s="181" t="s">
        <v>120</v>
      </c>
      <c r="D3" s="181" t="s">
        <v>121</v>
      </c>
      <c r="E3" s="181" t="s">
        <v>146</v>
      </c>
      <c r="F3" s="181" t="s">
        <v>123</v>
      </c>
      <c r="G3" s="182" t="s">
        <v>124</v>
      </c>
      <c r="H3" s="183" t="s">
        <v>125</v>
      </c>
      <c r="I3" s="286" t="s">
        <v>126</v>
      </c>
      <c r="J3" s="287" t="s">
        <v>147</v>
      </c>
      <c r="K3" s="288" t="s">
        <v>127</v>
      </c>
      <c r="L3" s="185" t="s">
        <v>148</v>
      </c>
      <c r="M3" s="289" t="s">
        <v>149</v>
      </c>
      <c r="N3" s="290" t="s">
        <v>126</v>
      </c>
      <c r="O3" s="291" t="s">
        <v>127</v>
      </c>
      <c r="P3" s="291" t="s">
        <v>130</v>
      </c>
      <c r="Q3" s="291" t="s">
        <v>126</v>
      </c>
      <c r="R3" s="291" t="s">
        <v>127</v>
      </c>
      <c r="S3" s="291" t="s">
        <v>130</v>
      </c>
      <c r="T3" s="166"/>
      <c r="U3" s="166"/>
      <c r="V3" s="166"/>
      <c r="W3" s="166"/>
      <c r="X3" s="166"/>
      <c r="Y3" s="166"/>
      <c r="Z3" s="166"/>
      <c r="AA3" s="166"/>
      <c r="AB3" s="166"/>
      <c r="AC3" s="166"/>
    </row>
    <row r="4" ht="15.75" customHeight="1">
      <c r="A4" s="292" t="s">
        <v>34</v>
      </c>
      <c r="B4" s="293">
        <f>CONTROLE!I5</f>
        <v>7</v>
      </c>
      <c r="C4" s="294">
        <v>0.0</v>
      </c>
      <c r="D4" s="295">
        <f>CONTROLE!E5</f>
        <v>0</v>
      </c>
      <c r="E4" s="296">
        <f>META!F10</f>
        <v>394</v>
      </c>
      <c r="F4" s="295">
        <f t="shared" ref="F4:F9" si="1">D4+E4</f>
        <v>394</v>
      </c>
      <c r="G4" s="295"/>
      <c r="H4" s="297">
        <f t="shared" ref="H4:H9" si="2">SUM(F4:G4)</f>
        <v>394</v>
      </c>
      <c r="I4" s="298">
        <f>9007.63/323</f>
        <v>27.88739938</v>
      </c>
      <c r="J4" s="299">
        <v>0.98</v>
      </c>
      <c r="K4" s="300">
        <f>'REFERENCIA PML'!C3</f>
        <v>25.57</v>
      </c>
      <c r="L4" s="197">
        <f>3424/ 9007.63 </f>
        <v>0.3801221853</v>
      </c>
      <c r="M4" s="301">
        <f>'REFERENCIA PML'!E3</f>
        <v>23.87</v>
      </c>
      <c r="N4" s="302" t="s">
        <v>134</v>
      </c>
      <c r="O4" s="303" t="s">
        <v>134</v>
      </c>
      <c r="P4" s="303" t="s">
        <v>134</v>
      </c>
      <c r="Q4" s="303" t="s">
        <v>134</v>
      </c>
      <c r="R4" s="303" t="s">
        <v>134</v>
      </c>
      <c r="S4" s="303" t="s">
        <v>134</v>
      </c>
      <c r="T4" s="166"/>
      <c r="U4" s="166"/>
      <c r="V4" s="166"/>
      <c r="W4" s="166"/>
      <c r="X4" s="166"/>
      <c r="Y4" s="166"/>
      <c r="Z4" s="166"/>
      <c r="AA4" s="166"/>
      <c r="AB4" s="166"/>
      <c r="AC4" s="166"/>
    </row>
    <row r="5" ht="17.25" customHeight="1">
      <c r="A5" s="304" t="s">
        <v>91</v>
      </c>
      <c r="B5" s="305">
        <f>CONTROLE!I18</f>
        <v>1</v>
      </c>
      <c r="C5" s="306"/>
      <c r="D5" s="307">
        <f>CONTROLE!E18</f>
        <v>10</v>
      </c>
      <c r="E5" s="307">
        <f>META!F20</f>
        <v>302</v>
      </c>
      <c r="F5" s="307">
        <f t="shared" si="1"/>
        <v>312</v>
      </c>
      <c r="G5" s="308">
        <v>300.0</v>
      </c>
      <c r="H5" s="309">
        <f t="shared" si="2"/>
        <v>612</v>
      </c>
      <c r="I5" s="310">
        <v>22.49</v>
      </c>
      <c r="J5" s="311">
        <v>0.999</v>
      </c>
      <c r="K5" s="312">
        <f>'REFERENCIA PML'!C4</f>
        <v>22.88</v>
      </c>
      <c r="L5" s="313">
        <f> 3427/5578.5</f>
        <v>0.6143228466</v>
      </c>
      <c r="M5" s="314">
        <f>'REFERENCIA PML'!E4</f>
        <v>33.93</v>
      </c>
      <c r="N5" s="315" t="s">
        <v>134</v>
      </c>
      <c r="O5" s="316" t="s">
        <v>134</v>
      </c>
      <c r="P5" s="316" t="s">
        <v>134</v>
      </c>
      <c r="Q5" s="316" t="s">
        <v>134</v>
      </c>
      <c r="R5" s="316" t="s">
        <v>134</v>
      </c>
      <c r="S5" s="316" t="s">
        <v>134</v>
      </c>
      <c r="T5" s="166"/>
      <c r="U5" s="166"/>
      <c r="V5" s="166"/>
      <c r="W5" s="166"/>
      <c r="X5" s="166"/>
      <c r="Y5" s="166"/>
      <c r="Z5" s="166"/>
      <c r="AA5" s="166"/>
      <c r="AB5" s="166"/>
      <c r="AC5" s="166"/>
    </row>
    <row r="6" ht="18.75" customHeight="1">
      <c r="A6" s="292" t="s">
        <v>98</v>
      </c>
      <c r="B6" s="293">
        <v>8.0</v>
      </c>
      <c r="C6" s="294"/>
      <c r="D6" s="295">
        <f>CONTROLE!E31</f>
        <v>80</v>
      </c>
      <c r="E6" s="295">
        <f>META!F31</f>
        <v>449</v>
      </c>
      <c r="F6" s="320">
        <f t="shared" si="1"/>
        <v>529</v>
      </c>
      <c r="G6" s="295">
        <v>300.0</v>
      </c>
      <c r="H6" s="297">
        <f t="shared" si="2"/>
        <v>829</v>
      </c>
      <c r="I6" s="321" t="s">
        <v>150</v>
      </c>
      <c r="J6" s="299">
        <v>1.032</v>
      </c>
      <c r="K6" s="300">
        <f>'REFERENCIA PML'!C5</f>
        <v>26.06</v>
      </c>
      <c r="L6" s="197">
        <v>0.5761</v>
      </c>
      <c r="M6" s="301">
        <f>'REFERENCIA PML'!E5</f>
        <v>30.84</v>
      </c>
      <c r="N6" s="302" t="s">
        <v>134</v>
      </c>
      <c r="O6" s="303" t="s">
        <v>134</v>
      </c>
      <c r="P6" s="303" t="s">
        <v>134</v>
      </c>
      <c r="Q6" s="303" t="s">
        <v>134</v>
      </c>
      <c r="R6" s="303" t="s">
        <v>134</v>
      </c>
      <c r="S6" s="303" t="s">
        <v>134</v>
      </c>
      <c r="T6" s="166"/>
      <c r="U6" s="166"/>
      <c r="V6" s="166"/>
      <c r="W6" s="166"/>
      <c r="X6" s="166"/>
      <c r="Y6" s="166"/>
      <c r="Z6" s="166"/>
      <c r="AA6" s="166"/>
      <c r="AB6" s="166"/>
      <c r="AC6" s="166"/>
    </row>
    <row r="7" ht="15.75" customHeight="1">
      <c r="A7" s="322" t="s">
        <v>103</v>
      </c>
      <c r="B7" s="323">
        <f>CONTROLE!I46</f>
        <v>8</v>
      </c>
      <c r="C7" s="324"/>
      <c r="D7" s="325">
        <f>CONTROLE!E46</f>
        <v>80</v>
      </c>
      <c r="E7" s="325">
        <f>CONTROLE!D46</f>
        <v>338</v>
      </c>
      <c r="F7" s="325">
        <f t="shared" si="1"/>
        <v>418</v>
      </c>
      <c r="G7" s="325">
        <v>300.0</v>
      </c>
      <c r="H7" s="326">
        <f t="shared" si="2"/>
        <v>718</v>
      </c>
      <c r="I7" s="327">
        <v>22.92</v>
      </c>
      <c r="J7" s="328"/>
      <c r="K7" s="329">
        <f>'REFERENCIA PML'!C6</f>
        <v>23.91</v>
      </c>
      <c r="L7" s="330">
        <v>0.549</v>
      </c>
      <c r="M7" s="331">
        <f>'REFERENCIA PML'!E6</f>
        <v>30.52</v>
      </c>
      <c r="N7" s="332"/>
      <c r="O7" s="333"/>
      <c r="P7" s="333"/>
      <c r="Q7" s="333"/>
      <c r="R7" s="333"/>
      <c r="S7" s="333"/>
      <c r="T7" s="166"/>
      <c r="U7" s="166"/>
      <c r="V7" s="166"/>
      <c r="W7" s="166"/>
      <c r="X7" s="166"/>
      <c r="Y7" s="166"/>
      <c r="Z7" s="166"/>
      <c r="AA7" s="166"/>
      <c r="AB7" s="166"/>
      <c r="AC7" s="166"/>
    </row>
    <row r="8" ht="15.75" customHeight="1">
      <c r="A8" s="334" t="s">
        <v>110</v>
      </c>
      <c r="B8" s="335">
        <v>3.0</v>
      </c>
      <c r="C8" s="166"/>
      <c r="D8" s="272">
        <f>CONTROLE!E62</f>
        <v>70</v>
      </c>
      <c r="E8" s="272">
        <f>CONTROLE!D62</f>
        <v>421</v>
      </c>
      <c r="F8" s="317">
        <f t="shared" si="1"/>
        <v>491</v>
      </c>
      <c r="G8" s="272">
        <f>CONTROLE!G62</f>
        <v>300</v>
      </c>
      <c r="H8" s="272">
        <f t="shared" si="2"/>
        <v>791</v>
      </c>
      <c r="I8" s="336">
        <f>11230.35/404</f>
        <v>27.79789604</v>
      </c>
      <c r="J8" s="166"/>
      <c r="K8" s="196">
        <f>'REFERENCIA PML'!C7</f>
        <v>26.95</v>
      </c>
      <c r="L8" s="168">
        <v>0.4401</v>
      </c>
      <c r="M8" s="337">
        <f>'REFERENCIA PML'!E7</f>
        <v>33.85</v>
      </c>
      <c r="N8" s="338"/>
      <c r="O8" s="294"/>
      <c r="P8" s="294"/>
      <c r="Q8" s="294"/>
      <c r="R8" s="294"/>
      <c r="S8" s="294"/>
      <c r="T8" s="166"/>
      <c r="U8" s="166"/>
      <c r="V8" s="166"/>
      <c r="W8" s="166"/>
      <c r="X8" s="166"/>
      <c r="Y8" s="166"/>
      <c r="Z8" s="166"/>
      <c r="AA8" s="166"/>
      <c r="AB8" s="166"/>
      <c r="AC8" s="166"/>
    </row>
    <row r="9" ht="15.75" customHeight="1">
      <c r="A9" s="339" t="s">
        <v>138</v>
      </c>
      <c r="B9" s="340">
        <f>CONTROLE!I78</f>
        <v>3</v>
      </c>
      <c r="C9" s="339"/>
      <c r="D9" s="341">
        <f>CONTROLE!E78</f>
        <v>30</v>
      </c>
      <c r="E9" s="341">
        <f>CONTROLE!D78</f>
        <v>365</v>
      </c>
      <c r="F9" s="341">
        <f t="shared" si="1"/>
        <v>395</v>
      </c>
      <c r="G9" s="341">
        <f>CONTROLE!G78</f>
        <v>300</v>
      </c>
      <c r="H9" s="341">
        <f t="shared" si="2"/>
        <v>695</v>
      </c>
      <c r="I9" s="342">
        <f>10232.44/360</f>
        <v>28.42344444</v>
      </c>
      <c r="J9" s="339"/>
      <c r="K9" s="343">
        <f>'REFERENCIA PML'!C8</f>
        <v>25.71</v>
      </c>
      <c r="L9" s="330">
        <f>5124.94/10232.44</f>
        <v>0.5008521917</v>
      </c>
      <c r="M9" s="344">
        <f>'REFERENCIA PML'!E8</f>
        <v>33.57</v>
      </c>
      <c r="N9" s="345"/>
      <c r="O9" s="346"/>
      <c r="P9" s="346"/>
      <c r="Q9" s="346"/>
      <c r="R9" s="346"/>
      <c r="S9" s="346"/>
      <c r="T9" s="166"/>
      <c r="U9" s="166"/>
      <c r="V9" s="166"/>
      <c r="W9" s="166"/>
      <c r="X9" s="166"/>
      <c r="Y9" s="166"/>
      <c r="Z9" s="166"/>
      <c r="AA9" s="166"/>
      <c r="AB9" s="166"/>
      <c r="AC9" s="166"/>
    </row>
    <row r="10" ht="15.75" customHeight="1">
      <c r="A10" s="347" t="s">
        <v>139</v>
      </c>
      <c r="B10" s="348">
        <v>0.0</v>
      </c>
      <c r="C10" s="347"/>
      <c r="D10" s="349">
        <v>0.0</v>
      </c>
      <c r="E10" s="347">
        <v>0.0</v>
      </c>
      <c r="F10" s="350">
        <v>0.0</v>
      </c>
      <c r="G10" s="349">
        <v>0.0</v>
      </c>
      <c r="H10" s="347">
        <v>0.0</v>
      </c>
      <c r="I10" s="351" t="s">
        <v>134</v>
      </c>
      <c r="J10" s="347" t="s">
        <v>134</v>
      </c>
      <c r="K10" s="347" t="s">
        <v>134</v>
      </c>
      <c r="L10" s="347" t="s">
        <v>134</v>
      </c>
      <c r="M10" s="352" t="s">
        <v>134</v>
      </c>
      <c r="N10" s="353" t="s">
        <v>134</v>
      </c>
      <c r="O10" s="354" t="s">
        <v>134</v>
      </c>
      <c r="P10" s="354" t="s">
        <v>134</v>
      </c>
      <c r="Q10" s="354" t="s">
        <v>134</v>
      </c>
      <c r="R10" s="354" t="s">
        <v>134</v>
      </c>
      <c r="S10" s="354" t="s">
        <v>134</v>
      </c>
      <c r="T10" s="347" t="s">
        <v>151</v>
      </c>
      <c r="U10" s="166"/>
      <c r="V10" s="166"/>
      <c r="W10" s="166"/>
      <c r="X10" s="166"/>
      <c r="Y10" s="166"/>
      <c r="Z10" s="166"/>
      <c r="AA10" s="166"/>
      <c r="AB10" s="166"/>
      <c r="AC10" s="166"/>
    </row>
    <row r="11" ht="15.75" customHeight="1">
      <c r="A11" s="355" t="s">
        <v>141</v>
      </c>
      <c r="B11" s="356"/>
      <c r="C11" s="356"/>
      <c r="D11" s="356"/>
      <c r="E11" s="356"/>
      <c r="F11" s="356"/>
      <c r="G11" s="357"/>
      <c r="H11" s="358"/>
      <c r="I11" s="355"/>
      <c r="J11" s="356"/>
      <c r="K11" s="358"/>
      <c r="L11" s="339"/>
      <c r="M11" s="359"/>
      <c r="N11" s="345"/>
      <c r="O11" s="346"/>
      <c r="P11" s="346"/>
      <c r="Q11" s="346"/>
      <c r="R11" s="346"/>
      <c r="S11" s="34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</row>
    <row r="12" ht="15.75" customHeight="1">
      <c r="A12" s="292" t="s">
        <v>142</v>
      </c>
      <c r="B12" s="294"/>
      <c r="C12" s="294"/>
      <c r="D12" s="294"/>
      <c r="E12" s="294"/>
      <c r="F12" s="360"/>
      <c r="G12" s="295"/>
      <c r="H12" s="361"/>
      <c r="I12" s="292"/>
      <c r="J12" s="294"/>
      <c r="K12" s="361"/>
      <c r="L12" s="166"/>
      <c r="M12" s="362"/>
      <c r="N12" s="338"/>
      <c r="O12" s="294"/>
      <c r="P12" s="294"/>
      <c r="Q12" s="294"/>
      <c r="R12" s="294"/>
      <c r="S12" s="294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</row>
    <row r="13" ht="15.75" customHeight="1">
      <c r="A13" s="363" t="s">
        <v>143</v>
      </c>
      <c r="B13" s="346"/>
      <c r="C13" s="346"/>
      <c r="D13" s="346"/>
      <c r="E13" s="346"/>
      <c r="F13" s="346"/>
      <c r="G13" s="364"/>
      <c r="H13" s="365"/>
      <c r="I13" s="363"/>
      <c r="J13" s="346"/>
      <c r="K13" s="365"/>
      <c r="L13" s="339"/>
      <c r="M13" s="366"/>
      <c r="N13" s="345"/>
      <c r="O13" s="346"/>
      <c r="P13" s="346"/>
      <c r="Q13" s="346"/>
      <c r="R13" s="346"/>
      <c r="S13" s="34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</row>
    <row r="14" ht="15.75" customHeight="1">
      <c r="A14" s="292" t="s">
        <v>144</v>
      </c>
      <c r="B14" s="294"/>
      <c r="C14" s="294"/>
      <c r="D14" s="294"/>
      <c r="E14" s="294"/>
      <c r="F14" s="360"/>
      <c r="G14" s="295"/>
      <c r="H14" s="361"/>
      <c r="I14" s="367"/>
      <c r="J14" s="368"/>
      <c r="K14" s="369"/>
      <c r="L14" s="166"/>
      <c r="M14" s="370"/>
      <c r="N14" s="338"/>
      <c r="O14" s="294"/>
      <c r="P14" s="294"/>
      <c r="Q14" s="294"/>
      <c r="R14" s="294"/>
      <c r="S14" s="294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</row>
    <row r="15" ht="15.75" customHeight="1">
      <c r="A15" s="371" t="s">
        <v>145</v>
      </c>
      <c r="B15" s="372"/>
      <c r="C15" s="372"/>
      <c r="D15" s="372"/>
      <c r="E15" s="372"/>
      <c r="F15" s="372">
        <f>D15+E15</f>
        <v>0</v>
      </c>
      <c r="G15" s="373"/>
      <c r="H15" s="374"/>
      <c r="I15" s="375"/>
      <c r="J15" s="376"/>
      <c r="K15" s="376"/>
      <c r="L15" s="376"/>
      <c r="M15" s="377"/>
      <c r="N15" s="345"/>
      <c r="O15" s="346"/>
      <c r="P15" s="346"/>
      <c r="Q15" s="346"/>
      <c r="R15" s="346"/>
      <c r="S15" s="346"/>
      <c r="T15" s="166"/>
      <c r="U15" s="166"/>
      <c r="V15" s="166"/>
      <c r="W15" s="166"/>
      <c r="X15" s="166"/>
      <c r="Y15" s="166"/>
      <c r="Z15" s="166"/>
      <c r="AA15" s="166"/>
      <c r="AB15" s="166"/>
      <c r="AC15" s="166"/>
    </row>
    <row r="16" ht="15.75" customHeight="1">
      <c r="A16" s="166"/>
      <c r="B16" s="166"/>
      <c r="C16" s="166"/>
      <c r="D16" s="166"/>
      <c r="E16" s="166"/>
      <c r="F16" s="166"/>
      <c r="G16" s="272"/>
      <c r="H16" s="166"/>
      <c r="I16" s="68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</row>
    <row r="17" ht="15.75" customHeight="1">
      <c r="A17" s="166"/>
      <c r="B17" s="166"/>
      <c r="C17" s="166"/>
      <c r="D17" s="166"/>
      <c r="E17" s="7"/>
      <c r="F17" s="7"/>
      <c r="G17" s="7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</row>
    <row r="18" ht="15.75" customHeight="1">
      <c r="A18" s="166"/>
      <c r="B18" s="166"/>
      <c r="C18" s="166"/>
      <c r="D18" s="166"/>
      <c r="E18" s="166"/>
      <c r="F18" s="166"/>
      <c r="G18" s="272"/>
      <c r="H18" s="166"/>
      <c r="I18" s="166"/>
      <c r="J18" s="166"/>
      <c r="K18" s="273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</row>
    <row r="19" ht="15.75" customHeight="1">
      <c r="A19" s="166"/>
      <c r="B19" s="7"/>
      <c r="C19" s="166"/>
      <c r="D19" s="166"/>
      <c r="E19" s="7"/>
      <c r="F19" s="166"/>
      <c r="G19" s="272"/>
      <c r="H19" s="166"/>
      <c r="I19" s="273"/>
      <c r="J19" s="273"/>
      <c r="K19" s="273"/>
      <c r="L19" s="273"/>
      <c r="M19" s="273"/>
      <c r="N19" s="273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</row>
    <row r="20" ht="15.75" customHeight="1">
      <c r="A20" s="166"/>
      <c r="B20" s="7"/>
      <c r="C20" s="166"/>
      <c r="D20" s="166"/>
      <c r="E20" s="166"/>
      <c r="F20" s="166"/>
      <c r="G20" s="272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</row>
    <row r="21" ht="15.75" customHeight="1">
      <c r="A21" s="166"/>
      <c r="B21" s="7"/>
      <c r="C21" s="166"/>
      <c r="D21" s="7"/>
      <c r="E21" s="166"/>
      <c r="F21" s="166"/>
      <c r="G21" s="272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</row>
    <row r="22" ht="15.75" customHeight="1">
      <c r="A22" s="166"/>
      <c r="B22" s="166"/>
      <c r="C22" s="166"/>
      <c r="D22" s="166"/>
      <c r="E22" s="166"/>
      <c r="F22" s="166"/>
      <c r="G22" s="272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</row>
    <row r="23" ht="15.75" customHeight="1">
      <c r="A23" s="166"/>
      <c r="B23" s="166"/>
      <c r="C23" s="166"/>
      <c r="D23" s="166"/>
      <c r="E23" s="166"/>
      <c r="F23" s="166"/>
      <c r="G23" s="272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</row>
    <row r="24" ht="15.75" customHeight="1">
      <c r="A24" s="166"/>
      <c r="B24" s="166"/>
      <c r="C24" s="166"/>
      <c r="D24" s="166"/>
      <c r="E24" s="166"/>
      <c r="F24" s="166"/>
      <c r="G24" s="272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</row>
    <row r="25" ht="15.75" customHeight="1">
      <c r="A25" s="166"/>
      <c r="B25" s="166"/>
      <c r="C25" s="166"/>
      <c r="D25" s="166"/>
      <c r="E25" s="166"/>
      <c r="F25" s="166"/>
      <c r="G25" s="272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</row>
    <row r="26" ht="15.75" customHeight="1">
      <c r="A26" s="166"/>
      <c r="B26" s="166"/>
      <c r="C26" s="166"/>
      <c r="D26" s="166"/>
      <c r="E26" s="166"/>
      <c r="F26" s="166"/>
      <c r="G26" s="272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</row>
    <row r="27" ht="15.75" customHeight="1">
      <c r="A27" s="166"/>
      <c r="B27" s="166"/>
      <c r="C27" s="166"/>
      <c r="D27" s="166"/>
      <c r="E27" s="166"/>
      <c r="F27" s="166"/>
      <c r="G27" s="2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</row>
    <row r="28" ht="15.75" customHeight="1">
      <c r="A28" s="166"/>
      <c r="B28" s="166"/>
      <c r="C28" s="166"/>
      <c r="D28" s="166"/>
      <c r="E28" s="166"/>
      <c r="F28" s="166"/>
      <c r="G28" s="272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</row>
    <row r="29" ht="15.75" customHeight="1">
      <c r="A29" s="166"/>
      <c r="B29" s="166"/>
      <c r="C29" s="166"/>
      <c r="D29" s="166"/>
      <c r="E29" s="166"/>
      <c r="F29" s="166"/>
      <c r="G29" s="272"/>
      <c r="H29" s="166"/>
      <c r="I29" s="273"/>
      <c r="J29" s="273"/>
      <c r="K29" s="273"/>
      <c r="L29" s="273"/>
      <c r="M29" s="273"/>
      <c r="N29" s="273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</row>
    <row r="30" ht="15.75" customHeight="1">
      <c r="A30" s="166"/>
      <c r="B30" s="166"/>
      <c r="C30" s="166"/>
      <c r="D30" s="166"/>
      <c r="E30" s="166"/>
      <c r="F30" s="166"/>
      <c r="G30" s="272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</row>
    <row r="31" ht="15.75" customHeight="1">
      <c r="A31" s="166"/>
      <c r="B31" s="166"/>
      <c r="C31" s="166"/>
      <c r="D31" s="166"/>
      <c r="E31" s="166"/>
      <c r="F31" s="166"/>
      <c r="G31" s="272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</row>
    <row r="32" ht="15.75" customHeight="1">
      <c r="A32" s="166"/>
      <c r="B32" s="166"/>
      <c r="C32" s="166"/>
      <c r="D32" s="166"/>
      <c r="E32" s="166"/>
      <c r="F32" s="166"/>
      <c r="G32" s="272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</row>
    <row r="33" ht="15.75" customHeight="1">
      <c r="A33" s="166"/>
      <c r="B33" s="166"/>
      <c r="C33" s="166"/>
      <c r="D33" s="166"/>
      <c r="E33" s="166"/>
      <c r="F33" s="166"/>
      <c r="G33" s="272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</row>
    <row r="34" ht="15.75" customHeight="1">
      <c r="A34" s="166"/>
      <c r="B34" s="166"/>
      <c r="C34" s="166"/>
      <c r="D34" s="166"/>
      <c r="E34" s="166"/>
      <c r="F34" s="166"/>
      <c r="G34" s="272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</row>
    <row r="35" ht="15.75" customHeight="1">
      <c r="A35" s="166"/>
      <c r="B35" s="166"/>
      <c r="C35" s="166"/>
      <c r="D35" s="166"/>
      <c r="E35" s="166"/>
      <c r="F35" s="166"/>
      <c r="G35" s="272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</row>
    <row r="36" ht="15.75" customHeight="1">
      <c r="A36" s="166"/>
      <c r="B36" s="166"/>
      <c r="C36" s="166"/>
      <c r="D36" s="166"/>
      <c r="E36" s="166"/>
      <c r="F36" s="166"/>
      <c r="G36" s="27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</row>
    <row r="37" ht="15.75" customHeight="1">
      <c r="A37" s="166"/>
      <c r="B37" s="166"/>
      <c r="C37" s="166"/>
      <c r="D37" s="166"/>
      <c r="E37" s="166"/>
      <c r="F37" s="166"/>
      <c r="G37" s="272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</row>
    <row r="38" ht="15.75" customHeight="1">
      <c r="A38" s="166"/>
      <c r="B38" s="166"/>
      <c r="C38" s="166"/>
      <c r="D38" s="166"/>
      <c r="E38" s="166"/>
      <c r="F38" s="166"/>
      <c r="G38" s="272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</row>
    <row r="39" ht="15.75" customHeight="1">
      <c r="A39" s="166"/>
      <c r="B39" s="166"/>
      <c r="C39" s="166"/>
      <c r="D39" s="166"/>
      <c r="E39" s="166"/>
      <c r="F39" s="166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</row>
    <row r="40" ht="15.75" customHeight="1">
      <c r="A40" s="166"/>
      <c r="B40" s="166"/>
      <c r="C40" s="166"/>
      <c r="D40" s="166"/>
      <c r="E40" s="166"/>
      <c r="F40" s="166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mergeCells count="4">
    <mergeCell ref="A2:H2"/>
    <mergeCell ref="I2:L2"/>
    <mergeCell ref="N2:P2"/>
    <mergeCell ref="Q2:S2"/>
  </mergeCells>
  <printOptions/>
  <pageMargins bottom="1.0" footer="0.0" header="0.0" left="0.75" right="0.75" top="1.0"/>
  <pageSetup orientation="landscape"/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0"/>
    <col customWidth="1" min="2" max="2" width="12.38"/>
    <col customWidth="1" hidden="1" min="3" max="3" width="12.63"/>
    <col customWidth="1" min="4" max="4" width="11.25"/>
    <col customWidth="1" min="5" max="5" width="10.88"/>
    <col customWidth="1" min="6" max="6" width="8.88"/>
    <col customWidth="1" min="7" max="7" width="9.88"/>
    <col customWidth="1" min="8" max="8" width="9.75"/>
    <col customWidth="1" hidden="1" min="9" max="9" width="6.88" outlineLevel="1"/>
    <col customWidth="1" hidden="1" min="10" max="10" width="12.63" outlineLevel="1"/>
    <col customWidth="1" hidden="1" min="11" max="11" width="7.5" outlineLevel="1"/>
    <col customWidth="1" hidden="1" min="12" max="13" width="10.63" outlineLevel="1"/>
    <col customWidth="1" min="14" max="14" width="7.5"/>
    <col customWidth="1" min="15" max="15" width="8.88"/>
    <col customWidth="1" min="16" max="16" width="9.38"/>
    <col customWidth="1" min="17" max="17" width="9.75"/>
    <col customWidth="1" hidden="1" min="18" max="18" width="8.0" outlineLevel="1"/>
    <col customWidth="1" hidden="1" min="19" max="20" width="12.63" outlineLevel="1"/>
  </cols>
  <sheetData>
    <row r="1" ht="25.5" customHeight="1">
      <c r="A1" s="165"/>
      <c r="B1" s="165"/>
      <c r="C1" s="165"/>
      <c r="D1" s="165"/>
      <c r="E1" s="165"/>
      <c r="F1" s="165"/>
      <c r="G1" s="165"/>
      <c r="H1" s="165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272"/>
      <c r="U1" s="272"/>
      <c r="V1" s="272"/>
      <c r="W1" s="272"/>
      <c r="X1" s="166"/>
      <c r="Y1" s="166"/>
      <c r="Z1" s="166"/>
      <c r="AA1" s="166"/>
      <c r="AB1" s="166"/>
      <c r="AC1" s="166"/>
    </row>
    <row r="2" ht="25.5" customHeight="1">
      <c r="A2" s="378" t="s">
        <v>37</v>
      </c>
      <c r="B2" s="379"/>
      <c r="C2" s="379"/>
      <c r="D2" s="379"/>
      <c r="E2" s="379"/>
      <c r="F2" s="379"/>
      <c r="G2" s="379"/>
      <c r="H2" s="380"/>
      <c r="I2" s="381" t="s">
        <v>104</v>
      </c>
      <c r="J2" s="382"/>
      <c r="K2" s="382"/>
      <c r="L2" s="383"/>
      <c r="M2" s="381"/>
      <c r="N2" s="384" t="s">
        <v>106</v>
      </c>
      <c r="O2" s="385"/>
      <c r="P2" s="386"/>
      <c r="Q2" s="387"/>
      <c r="R2" s="381" t="s">
        <v>108</v>
      </c>
      <c r="S2" s="382"/>
      <c r="T2" s="388"/>
      <c r="U2" s="272"/>
      <c r="V2" s="272"/>
      <c r="W2" s="272"/>
      <c r="X2" s="166"/>
      <c r="Y2" s="166"/>
      <c r="Z2" s="166"/>
      <c r="AA2" s="166"/>
      <c r="AB2" s="166"/>
      <c r="AC2" s="166"/>
    </row>
    <row r="3" ht="59.25" customHeight="1">
      <c r="A3" s="389" t="s">
        <v>118</v>
      </c>
      <c r="B3" s="389" t="s">
        <v>119</v>
      </c>
      <c r="C3" s="389" t="s">
        <v>120</v>
      </c>
      <c r="D3" s="389" t="s">
        <v>121</v>
      </c>
      <c r="E3" s="389" t="s">
        <v>122</v>
      </c>
      <c r="F3" s="389" t="s">
        <v>123</v>
      </c>
      <c r="G3" s="390" t="s">
        <v>124</v>
      </c>
      <c r="H3" s="391" t="s">
        <v>125</v>
      </c>
      <c r="I3" s="392" t="s">
        <v>126</v>
      </c>
      <c r="J3" s="393" t="s">
        <v>147</v>
      </c>
      <c r="K3" s="394" t="s">
        <v>152</v>
      </c>
      <c r="L3" s="394" t="s">
        <v>153</v>
      </c>
      <c r="M3" s="395" t="s">
        <v>154</v>
      </c>
      <c r="N3" s="396" t="s">
        <v>155</v>
      </c>
      <c r="O3" s="397" t="s">
        <v>156</v>
      </c>
      <c r="P3" s="397" t="s">
        <v>130</v>
      </c>
      <c r="Q3" s="398" t="s">
        <v>157</v>
      </c>
      <c r="R3" s="290" t="s">
        <v>126</v>
      </c>
      <c r="S3" s="291" t="s">
        <v>147</v>
      </c>
      <c r="T3" s="399" t="s">
        <v>130</v>
      </c>
      <c r="U3" s="272"/>
      <c r="V3" s="272"/>
      <c r="W3" s="272"/>
      <c r="X3" s="166"/>
      <c r="Y3" s="166"/>
      <c r="Z3" s="166"/>
      <c r="AA3" s="166"/>
      <c r="AB3" s="166"/>
      <c r="AC3" s="166"/>
    </row>
    <row r="4" ht="15.75" customHeight="1">
      <c r="A4" s="400" t="s">
        <v>34</v>
      </c>
      <c r="B4" s="401">
        <f>CONTROLE!I10</f>
        <v>3</v>
      </c>
      <c r="C4" s="402">
        <v>0.0</v>
      </c>
      <c r="D4" s="403">
        <f>CONTROLE!E10</f>
        <v>30</v>
      </c>
      <c r="E4" s="404">
        <f>CONTROLE!D10</f>
        <v>117</v>
      </c>
      <c r="F4" s="403">
        <f t="shared" ref="F4:F10" si="1">D4+E4</f>
        <v>147</v>
      </c>
      <c r="G4" s="403"/>
      <c r="H4" s="403">
        <f t="shared" ref="H4:H10" si="2">SUM(F4:G4)</f>
        <v>147</v>
      </c>
      <c r="I4" s="302" t="s">
        <v>134</v>
      </c>
      <c r="J4" s="303" t="s">
        <v>134</v>
      </c>
      <c r="K4" s="405"/>
      <c r="L4" s="405" t="s">
        <v>134</v>
      </c>
      <c r="M4" s="406"/>
      <c r="N4" s="407" t="s">
        <v>158</v>
      </c>
      <c r="O4" s="408" t="str">
        <f>'REFERENCIA PML'!C10</f>
        <v>R$ 21,38</v>
      </c>
      <c r="P4" s="409">
        <v>0.4751</v>
      </c>
      <c r="Q4" s="410">
        <f>'REFERENCIA PML'!E10</f>
        <v>21.83</v>
      </c>
      <c r="R4" s="302" t="s">
        <v>134</v>
      </c>
      <c r="S4" s="303" t="s">
        <v>134</v>
      </c>
      <c r="T4" s="411" t="s">
        <v>134</v>
      </c>
      <c r="U4" s="272"/>
      <c r="V4" s="272"/>
      <c r="W4" s="272"/>
      <c r="X4" s="166"/>
      <c r="Y4" s="166"/>
      <c r="Z4" s="166"/>
      <c r="AA4" s="166"/>
      <c r="AB4" s="166"/>
      <c r="AC4" s="166"/>
    </row>
    <row r="5" ht="15.75" customHeight="1">
      <c r="A5" s="412" t="s">
        <v>91</v>
      </c>
      <c r="B5" s="413">
        <f>CONTROLE!I23</f>
        <v>2</v>
      </c>
      <c r="C5" s="414"/>
      <c r="D5" s="415">
        <f>CONTROLE!E23</f>
        <v>20</v>
      </c>
      <c r="E5" s="415">
        <f>META!F18</f>
        <v>54</v>
      </c>
      <c r="F5" s="415">
        <f t="shared" si="1"/>
        <v>74</v>
      </c>
      <c r="G5" s="415">
        <v>0.0</v>
      </c>
      <c r="H5" s="416">
        <f t="shared" si="2"/>
        <v>74</v>
      </c>
      <c r="I5" s="417">
        <f>1429/67</f>
        <v>21.32835821</v>
      </c>
      <c r="J5" s="418">
        <v>0.914</v>
      </c>
      <c r="K5" s="419">
        <f>'REFERENCIA PML'!C4</f>
        <v>22.88</v>
      </c>
      <c r="L5" s="420">
        <f>1378/1429</f>
        <v>0.9643107068</v>
      </c>
      <c r="M5" s="421">
        <f>'REFERENCIA PML'!E4</f>
        <v>33.93</v>
      </c>
      <c r="N5" s="422" t="s">
        <v>159</v>
      </c>
      <c r="O5" s="423">
        <f>'REFERENCIA PML'!C11</f>
        <v>22.14</v>
      </c>
      <c r="P5" s="424">
        <v>0.4678</v>
      </c>
      <c r="Q5" s="425">
        <f>'REFERENCIA PML'!E11</f>
        <v>41.82</v>
      </c>
      <c r="R5" s="426" t="s">
        <v>134</v>
      </c>
      <c r="S5" s="427">
        <v>0.728</v>
      </c>
      <c r="T5" s="428" t="s">
        <v>134</v>
      </c>
      <c r="U5" s="272"/>
      <c r="V5" s="272"/>
      <c r="W5" s="272"/>
      <c r="X5" s="166"/>
      <c r="Y5" s="166"/>
      <c r="Z5" s="166"/>
      <c r="AA5" s="166"/>
      <c r="AB5" s="166"/>
      <c r="AC5" s="166"/>
    </row>
    <row r="6" ht="15.75" customHeight="1">
      <c r="A6" s="400" t="s">
        <v>98</v>
      </c>
      <c r="B6" s="401">
        <f>CONTROLE!I36</f>
        <v>2</v>
      </c>
      <c r="C6" s="402"/>
      <c r="D6" s="403">
        <f>CONTROLE!E36</f>
        <v>20</v>
      </c>
      <c r="E6" s="403">
        <f>CONTROLE!D36</f>
        <v>124</v>
      </c>
      <c r="F6" s="403">
        <f t="shared" si="1"/>
        <v>144</v>
      </c>
      <c r="G6" s="403">
        <v>300.0</v>
      </c>
      <c r="H6" s="403">
        <f t="shared" si="2"/>
        <v>444</v>
      </c>
      <c r="I6" s="302" t="s">
        <v>134</v>
      </c>
      <c r="J6" s="303" t="s">
        <v>134</v>
      </c>
      <c r="K6" s="419">
        <f>'REFERENCIA PML'!C5</f>
        <v>26.06</v>
      </c>
      <c r="L6" s="405" t="s">
        <v>134</v>
      </c>
      <c r="M6" s="421">
        <f>'REFERENCIA PML'!E5</f>
        <v>30.84</v>
      </c>
      <c r="N6" s="407" t="s">
        <v>160</v>
      </c>
      <c r="O6" s="408">
        <f>'REFERENCIA PML'!C12</f>
        <v>22.52</v>
      </c>
      <c r="P6" s="409">
        <v>0.5168</v>
      </c>
      <c r="Q6" s="410">
        <f>'REFERENCIA PML'!E12</f>
        <v>38.47</v>
      </c>
      <c r="R6" s="302" t="s">
        <v>134</v>
      </c>
      <c r="S6" s="303" t="s">
        <v>134</v>
      </c>
      <c r="T6" s="429" t="s">
        <v>134</v>
      </c>
      <c r="U6" s="272"/>
      <c r="V6" s="272"/>
      <c r="W6" s="272"/>
      <c r="X6" s="166"/>
      <c r="Y6" s="166"/>
      <c r="Z6" s="166"/>
      <c r="AA6" s="166"/>
      <c r="AB6" s="166"/>
      <c r="AC6" s="166"/>
    </row>
    <row r="7" ht="15.75" customHeight="1">
      <c r="A7" s="412" t="s">
        <v>103</v>
      </c>
      <c r="B7" s="413">
        <f>CONTROLE!I51</f>
        <v>1</v>
      </c>
      <c r="C7" s="414"/>
      <c r="D7" s="415">
        <f>CONTROLE!E51</f>
        <v>10</v>
      </c>
      <c r="E7" s="415">
        <f>CONTROLE!D51</f>
        <v>124.5</v>
      </c>
      <c r="F7" s="415">
        <f t="shared" si="1"/>
        <v>134.5</v>
      </c>
      <c r="G7" s="415">
        <v>300.0</v>
      </c>
      <c r="H7" s="415">
        <f t="shared" si="2"/>
        <v>434.5</v>
      </c>
      <c r="I7" s="430" t="s">
        <v>134</v>
      </c>
      <c r="J7" s="431" t="s">
        <v>134</v>
      </c>
      <c r="K7" s="329">
        <f>'REFERENCIA PML'!C6</f>
        <v>23.91</v>
      </c>
      <c r="L7" s="432" t="s">
        <v>134</v>
      </c>
      <c r="M7" s="433">
        <f>'REFERENCIA PML'!E6</f>
        <v>30.52</v>
      </c>
      <c r="N7" s="434">
        <v>19.71</v>
      </c>
      <c r="O7" s="423">
        <f>'REFERENCIA PML'!C14</f>
        <v>25.84</v>
      </c>
      <c r="P7" s="435">
        <v>0.47</v>
      </c>
      <c r="Q7" s="425">
        <f>'REFERENCIA PML'!E13</f>
        <v>43.48</v>
      </c>
      <c r="R7" s="426" t="s">
        <v>134</v>
      </c>
      <c r="S7" s="436" t="s">
        <v>134</v>
      </c>
      <c r="T7" s="428" t="s">
        <v>134</v>
      </c>
      <c r="U7" s="272"/>
      <c r="V7" s="272"/>
      <c r="W7" s="272"/>
      <c r="X7" s="166"/>
      <c r="Y7" s="166"/>
      <c r="Z7" s="166"/>
      <c r="AA7" s="166"/>
      <c r="AB7" s="166"/>
      <c r="AC7" s="166"/>
    </row>
    <row r="8" ht="15.75" customHeight="1">
      <c r="A8" s="400" t="s">
        <v>110</v>
      </c>
      <c r="B8" s="401">
        <f>CONTROLE!I67</f>
        <v>5</v>
      </c>
      <c r="C8" s="402"/>
      <c r="D8" s="403">
        <f>CONTROLE!E67</f>
        <v>50</v>
      </c>
      <c r="E8" s="403">
        <f>CONTROLE!D67</f>
        <v>136</v>
      </c>
      <c r="F8" s="437">
        <f t="shared" si="1"/>
        <v>186</v>
      </c>
      <c r="G8" s="403">
        <f>CONTROLE!G67</f>
        <v>300</v>
      </c>
      <c r="H8" s="403">
        <f t="shared" si="2"/>
        <v>486</v>
      </c>
      <c r="I8" s="166"/>
      <c r="J8" s="166"/>
      <c r="K8" s="226">
        <f>'REFERENCIA PML'!C7</f>
        <v>26.95</v>
      </c>
      <c r="L8" s="166"/>
      <c r="M8" s="438">
        <f>'REFERENCIA PML'!E7</f>
        <v>33.85</v>
      </c>
      <c r="N8" s="439">
        <f>23717.17/937</f>
        <v>25.3118143</v>
      </c>
      <c r="O8" s="440">
        <f>'REFERENCIA PML'!C14</f>
        <v>25.84</v>
      </c>
      <c r="P8" s="441">
        <f>8645/23717.7</f>
        <v>0.3644957142</v>
      </c>
      <c r="Q8" s="410">
        <f>'REFERENCIA PML'!E14</f>
        <v>38.89</v>
      </c>
      <c r="R8" s="338"/>
      <c r="S8" s="294"/>
      <c r="T8" s="442"/>
      <c r="U8" s="272"/>
      <c r="V8" s="272"/>
      <c r="W8" s="272"/>
      <c r="X8" s="166"/>
      <c r="Y8" s="166"/>
      <c r="Z8" s="166"/>
      <c r="AA8" s="166"/>
      <c r="AB8" s="166"/>
      <c r="AC8" s="166"/>
    </row>
    <row r="9" ht="15.75" customHeight="1">
      <c r="A9" s="412" t="s">
        <v>138</v>
      </c>
      <c r="B9" s="443">
        <f>CONTROLE!I68</f>
        <v>0</v>
      </c>
      <c r="C9" s="444"/>
      <c r="D9" s="445">
        <f>CONTROLE!E68</f>
        <v>0</v>
      </c>
      <c r="E9" s="445">
        <f>CONTROLE!D83</f>
        <v>132</v>
      </c>
      <c r="F9" s="445">
        <f t="shared" si="1"/>
        <v>132</v>
      </c>
      <c r="G9" s="445">
        <f>CONTROLE!G83</f>
        <v>300</v>
      </c>
      <c r="H9" s="445">
        <f t="shared" si="2"/>
        <v>432</v>
      </c>
      <c r="I9" s="446"/>
      <c r="J9" s="447"/>
      <c r="K9" s="448">
        <f>'REFERENCIA PML'!C9</f>
        <v>23.15</v>
      </c>
      <c r="L9" s="449"/>
      <c r="M9" s="450">
        <f>'REFERENCIA PML'!E9</f>
        <v>28.53</v>
      </c>
      <c r="N9" s="434">
        <f>12152.6/538</f>
        <v>22.58847584</v>
      </c>
      <c r="O9" s="451">
        <f>'REFERENCIA PML'!C15</f>
        <v>24.18</v>
      </c>
      <c r="P9" s="435">
        <f>6233/12152.6</f>
        <v>0.5128943601</v>
      </c>
      <c r="Q9" s="425">
        <f>'REFERENCIA PML'!E15</f>
        <v>42.48</v>
      </c>
      <c r="R9" s="345"/>
      <c r="S9" s="346"/>
      <c r="T9" s="452"/>
      <c r="U9" s="272"/>
      <c r="V9" s="272"/>
      <c r="W9" s="272"/>
      <c r="X9" s="166"/>
      <c r="Y9" s="166"/>
      <c r="Z9" s="166"/>
      <c r="AA9" s="166"/>
      <c r="AB9" s="166"/>
      <c r="AC9" s="166"/>
    </row>
    <row r="10" ht="15.75" customHeight="1">
      <c r="A10" s="453" t="s">
        <v>139</v>
      </c>
      <c r="B10" s="454">
        <f>CONTROLE!I99</f>
        <v>7</v>
      </c>
      <c r="C10" s="455"/>
      <c r="D10" s="456">
        <f>CONTROLE!E99</f>
        <v>70</v>
      </c>
      <c r="E10" s="456">
        <f>CONTROLE!D99</f>
        <v>129</v>
      </c>
      <c r="F10" s="457">
        <f t="shared" si="1"/>
        <v>199</v>
      </c>
      <c r="G10" s="457">
        <f>CONTROLE!G99</f>
        <v>300</v>
      </c>
      <c r="H10" s="457">
        <f t="shared" si="2"/>
        <v>499</v>
      </c>
      <c r="I10" s="458">
        <f>4031.0004/284</f>
        <v>14.19366338</v>
      </c>
      <c r="J10" s="459">
        <f>I10/K10</f>
        <v>0.6131172087</v>
      </c>
      <c r="K10" s="460">
        <f>'REFERENCIA PML'!C9</f>
        <v>23.15</v>
      </c>
      <c r="L10" s="461">
        <f>1664.0004/4031.0004</f>
        <v>0.4128008521</v>
      </c>
      <c r="M10" s="462">
        <f>'REFERENCIA PML'!E9</f>
        <v>28.53</v>
      </c>
      <c r="N10" s="463">
        <f>16373.34/741</f>
        <v>22.0962753</v>
      </c>
      <c r="O10" s="464">
        <f>'REFERENCIA PML'!C16</f>
        <v>24.42</v>
      </c>
      <c r="P10" s="465">
        <f>7343.34/16373.34</f>
        <v>0.4484937099</v>
      </c>
      <c r="Q10" s="466">
        <f>'REFERENCIA PML'!E16</f>
        <v>39.99</v>
      </c>
      <c r="R10" s="338" t="s">
        <v>134</v>
      </c>
      <c r="S10" s="294" t="s">
        <v>134</v>
      </c>
      <c r="T10" s="442" t="s">
        <v>134</v>
      </c>
      <c r="U10" s="272"/>
      <c r="V10" s="272"/>
      <c r="W10" s="272"/>
      <c r="X10" s="166"/>
      <c r="Y10" s="166"/>
      <c r="Z10" s="166"/>
      <c r="AA10" s="166"/>
      <c r="AB10" s="166"/>
      <c r="AC10" s="166"/>
    </row>
    <row r="11" ht="15.75" customHeight="1">
      <c r="A11" s="400" t="s">
        <v>141</v>
      </c>
      <c r="B11" s="402"/>
      <c r="C11" s="402"/>
      <c r="D11" s="402"/>
      <c r="E11" s="402"/>
      <c r="F11" s="467"/>
      <c r="G11" s="437"/>
      <c r="H11" s="467"/>
      <c r="I11" s="468"/>
      <c r="J11" s="360"/>
      <c r="K11" s="300"/>
      <c r="L11" s="469"/>
      <c r="M11" s="470"/>
      <c r="N11" s="471"/>
      <c r="O11" s="472"/>
      <c r="P11" s="472"/>
      <c r="Q11" s="473"/>
      <c r="R11" s="338"/>
      <c r="S11" s="294"/>
      <c r="T11" s="442"/>
      <c r="U11" s="272"/>
      <c r="V11" s="272"/>
      <c r="W11" s="272"/>
      <c r="X11" s="166"/>
      <c r="Y11" s="166"/>
      <c r="Z11" s="166"/>
      <c r="AA11" s="166"/>
      <c r="AB11" s="166"/>
      <c r="AC11" s="166"/>
    </row>
    <row r="12" ht="15.75" customHeight="1">
      <c r="A12" s="400" t="s">
        <v>142</v>
      </c>
      <c r="B12" s="402"/>
      <c r="C12" s="402"/>
      <c r="D12" s="402"/>
      <c r="E12" s="402"/>
      <c r="F12" s="467"/>
      <c r="G12" s="437"/>
      <c r="H12" s="467"/>
      <c r="I12" s="468"/>
      <c r="J12" s="360"/>
      <c r="K12" s="300"/>
      <c r="L12" s="469"/>
      <c r="M12" s="470"/>
      <c r="N12" s="471"/>
      <c r="O12" s="472"/>
      <c r="P12" s="472"/>
      <c r="Q12" s="473"/>
      <c r="R12" s="338"/>
      <c r="S12" s="294"/>
      <c r="T12" s="442"/>
      <c r="U12" s="272"/>
      <c r="V12" s="272"/>
      <c r="W12" s="272"/>
      <c r="X12" s="166"/>
      <c r="Y12" s="166"/>
      <c r="Z12" s="166"/>
      <c r="AA12" s="166"/>
      <c r="AB12" s="166"/>
      <c r="AC12" s="166"/>
    </row>
    <row r="13" ht="15.75" customHeight="1">
      <c r="A13" s="400" t="s">
        <v>143</v>
      </c>
      <c r="B13" s="402"/>
      <c r="C13" s="402"/>
      <c r="D13" s="402"/>
      <c r="E13" s="402"/>
      <c r="F13" s="467"/>
      <c r="G13" s="437"/>
      <c r="H13" s="467"/>
      <c r="I13" s="468"/>
      <c r="J13" s="360"/>
      <c r="K13" s="300"/>
      <c r="L13" s="469"/>
      <c r="M13" s="470"/>
      <c r="N13" s="471"/>
      <c r="O13" s="472"/>
      <c r="P13" s="472"/>
      <c r="Q13" s="473"/>
      <c r="R13" s="338"/>
      <c r="S13" s="294"/>
      <c r="T13" s="442"/>
      <c r="U13" s="272"/>
      <c r="V13" s="272"/>
      <c r="W13" s="272"/>
      <c r="X13" s="166"/>
      <c r="Y13" s="166"/>
      <c r="Z13" s="166"/>
      <c r="AA13" s="166"/>
      <c r="AB13" s="166"/>
      <c r="AC13" s="166"/>
    </row>
    <row r="14" ht="15.75" customHeight="1">
      <c r="A14" s="400" t="s">
        <v>144</v>
      </c>
      <c r="B14" s="402"/>
      <c r="C14" s="402"/>
      <c r="D14" s="402"/>
      <c r="E14" s="402"/>
      <c r="F14" s="467"/>
      <c r="G14" s="437"/>
      <c r="H14" s="467"/>
      <c r="I14" s="468"/>
      <c r="J14" s="360"/>
      <c r="K14" s="300"/>
      <c r="L14" s="469"/>
      <c r="M14" s="470"/>
      <c r="N14" s="471"/>
      <c r="O14" s="472"/>
      <c r="P14" s="472"/>
      <c r="Q14" s="473"/>
      <c r="R14" s="338"/>
      <c r="S14" s="294"/>
      <c r="T14" s="442"/>
      <c r="U14" s="272"/>
      <c r="V14" s="272"/>
      <c r="W14" s="272"/>
      <c r="X14" s="166"/>
      <c r="Y14" s="166"/>
      <c r="Z14" s="166"/>
      <c r="AA14" s="166"/>
      <c r="AB14" s="166"/>
      <c r="AC14" s="166"/>
    </row>
    <row r="15" ht="15.75" customHeight="1">
      <c r="A15" s="400" t="s">
        <v>145</v>
      </c>
      <c r="B15" s="402"/>
      <c r="C15" s="402"/>
      <c r="D15" s="402"/>
      <c r="E15" s="402"/>
      <c r="F15" s="467"/>
      <c r="G15" s="437"/>
      <c r="H15" s="467"/>
      <c r="I15" s="474"/>
      <c r="J15" s="475"/>
      <c r="K15" s="476"/>
      <c r="L15" s="477"/>
      <c r="M15" s="478"/>
      <c r="N15" s="479"/>
      <c r="O15" s="480"/>
      <c r="P15" s="480"/>
      <c r="Q15" s="481"/>
      <c r="R15" s="482"/>
      <c r="S15" s="483"/>
      <c r="T15" s="484"/>
      <c r="U15" s="272"/>
      <c r="V15" s="272"/>
      <c r="W15" s="272"/>
      <c r="X15" s="166"/>
      <c r="Y15" s="166"/>
      <c r="Z15" s="166"/>
      <c r="AA15" s="166"/>
      <c r="AB15" s="166"/>
      <c r="AC15" s="166"/>
    </row>
    <row r="16" ht="15.75" customHeight="1">
      <c r="A16" s="166"/>
      <c r="B16" s="166"/>
      <c r="C16" s="166"/>
      <c r="D16" s="166"/>
      <c r="E16" s="166"/>
      <c r="F16" s="166"/>
      <c r="G16" s="272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272"/>
      <c r="U16" s="272"/>
      <c r="V16" s="272"/>
      <c r="W16" s="272"/>
      <c r="X16" s="166"/>
      <c r="Y16" s="166"/>
      <c r="Z16" s="166"/>
      <c r="AA16" s="166"/>
      <c r="AB16" s="166"/>
      <c r="AC16" s="166"/>
    </row>
    <row r="17" ht="15.75" customHeight="1">
      <c r="A17" s="166"/>
      <c r="B17" s="166"/>
      <c r="C17" s="166"/>
      <c r="D17" s="166"/>
      <c r="E17" s="166"/>
      <c r="F17" s="166"/>
      <c r="G17" s="272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272"/>
      <c r="U17" s="272"/>
      <c r="V17" s="272"/>
      <c r="W17" s="272"/>
      <c r="X17" s="166"/>
      <c r="Y17" s="166"/>
      <c r="Z17" s="166"/>
      <c r="AA17" s="166"/>
      <c r="AB17" s="166"/>
      <c r="AC17" s="166"/>
    </row>
    <row r="18" ht="15.75" customHeight="1">
      <c r="A18" s="166"/>
      <c r="B18" s="166"/>
      <c r="C18" s="166"/>
      <c r="D18" s="166"/>
      <c r="E18" s="7"/>
      <c r="F18" s="7"/>
      <c r="G18" s="7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272"/>
      <c r="U18" s="272"/>
      <c r="V18" s="272"/>
      <c r="W18" s="272"/>
      <c r="X18" s="166"/>
      <c r="Y18" s="166"/>
      <c r="Z18" s="166"/>
      <c r="AA18" s="166"/>
      <c r="AB18" s="166"/>
      <c r="AC18" s="166"/>
    </row>
    <row r="19" ht="15.75" customHeight="1">
      <c r="A19" s="166"/>
      <c r="B19" s="7"/>
      <c r="C19" s="166"/>
      <c r="D19" s="36"/>
      <c r="E19" s="166"/>
      <c r="F19" s="166"/>
      <c r="G19" s="272"/>
      <c r="H19" s="3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272"/>
      <c r="U19" s="272"/>
      <c r="V19" s="272"/>
      <c r="W19" s="272"/>
      <c r="X19" s="166"/>
      <c r="Y19" s="166"/>
      <c r="Z19" s="166"/>
      <c r="AA19" s="166"/>
      <c r="AB19" s="166"/>
      <c r="AC19" s="166"/>
    </row>
    <row r="20" ht="15.75" customHeight="1">
      <c r="A20" s="166"/>
      <c r="B20" s="7"/>
      <c r="C20" s="166"/>
      <c r="D20" s="36"/>
      <c r="E20" s="36"/>
      <c r="F20" s="166"/>
      <c r="G20" s="272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272"/>
      <c r="U20" s="272"/>
      <c r="V20" s="272"/>
      <c r="W20" s="272"/>
      <c r="X20" s="166"/>
      <c r="Y20" s="166"/>
      <c r="Z20" s="166"/>
      <c r="AA20" s="166"/>
      <c r="AB20" s="166"/>
      <c r="AC20" s="166"/>
    </row>
    <row r="21" ht="15.75" customHeight="1">
      <c r="A21" s="166"/>
      <c r="B21" s="166"/>
      <c r="C21" s="166"/>
      <c r="D21" s="166"/>
      <c r="E21" s="166"/>
      <c r="F21" s="166"/>
      <c r="G21" s="272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272"/>
      <c r="U21" s="272"/>
      <c r="V21" s="272"/>
      <c r="W21" s="272"/>
      <c r="X21" s="166"/>
      <c r="Y21" s="166"/>
      <c r="Z21" s="166"/>
      <c r="AA21" s="166"/>
      <c r="AB21" s="166"/>
      <c r="AC21" s="166"/>
    </row>
    <row r="22" ht="15.75" customHeight="1">
      <c r="A22" s="166"/>
      <c r="B22" s="166"/>
      <c r="C22" s="166"/>
      <c r="D22" s="166"/>
      <c r="E22" s="166"/>
      <c r="F22" s="166"/>
      <c r="G22" s="272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272"/>
      <c r="U22" s="272"/>
      <c r="V22" s="272"/>
      <c r="W22" s="272"/>
      <c r="X22" s="166"/>
      <c r="Y22" s="166"/>
      <c r="Z22" s="166"/>
      <c r="AA22" s="166"/>
      <c r="AB22" s="166"/>
      <c r="AC22" s="166"/>
    </row>
    <row r="23" ht="15.75" customHeight="1">
      <c r="A23" s="166"/>
      <c r="B23" s="166"/>
      <c r="C23" s="166"/>
      <c r="D23" s="166"/>
      <c r="E23" s="166"/>
      <c r="F23" s="166"/>
      <c r="G23" s="272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272"/>
      <c r="U23" s="272"/>
      <c r="V23" s="272"/>
      <c r="W23" s="272"/>
      <c r="X23" s="166"/>
      <c r="Y23" s="166"/>
      <c r="Z23" s="166"/>
      <c r="AA23" s="166"/>
      <c r="AB23" s="166"/>
      <c r="AC23" s="166"/>
    </row>
    <row r="24" ht="15.75" customHeight="1">
      <c r="A24" s="166"/>
      <c r="B24" s="166"/>
      <c r="C24" s="166"/>
      <c r="D24" s="166"/>
      <c r="E24" s="166"/>
      <c r="F24" s="166"/>
      <c r="G24" s="272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272"/>
      <c r="U24" s="272"/>
      <c r="V24" s="272"/>
      <c r="W24" s="272"/>
      <c r="X24" s="166"/>
      <c r="Y24" s="166"/>
      <c r="Z24" s="166"/>
      <c r="AA24" s="166"/>
      <c r="AB24" s="166"/>
      <c r="AC24" s="166"/>
    </row>
    <row r="25" ht="15.75" customHeight="1">
      <c r="A25" s="166"/>
      <c r="B25" s="166"/>
      <c r="C25" s="166"/>
      <c r="D25" s="166"/>
      <c r="E25" s="166"/>
      <c r="F25" s="166"/>
      <c r="G25" s="272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272"/>
      <c r="U25" s="272"/>
      <c r="V25" s="272"/>
      <c r="W25" s="272"/>
      <c r="X25" s="166"/>
      <c r="Y25" s="166"/>
      <c r="Z25" s="166"/>
      <c r="AA25" s="166"/>
      <c r="AB25" s="166"/>
      <c r="AC25" s="166"/>
    </row>
    <row r="26" ht="15.75" customHeight="1">
      <c r="A26" s="166"/>
      <c r="B26" s="166"/>
      <c r="C26" s="166"/>
      <c r="D26" s="166"/>
      <c r="E26" s="166"/>
      <c r="F26" s="166"/>
      <c r="G26" s="272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272"/>
      <c r="U26" s="272"/>
      <c r="V26" s="272"/>
      <c r="W26" s="272"/>
      <c r="X26" s="166"/>
      <c r="Y26" s="166"/>
      <c r="Z26" s="166"/>
      <c r="AA26" s="166"/>
      <c r="AB26" s="166"/>
      <c r="AC26" s="166"/>
    </row>
    <row r="27" ht="15.75" customHeight="1">
      <c r="A27" s="166"/>
      <c r="B27" s="166"/>
      <c r="C27" s="166"/>
      <c r="D27" s="166"/>
      <c r="E27" s="166"/>
      <c r="F27" s="166"/>
      <c r="G27" s="2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272"/>
      <c r="U27" s="272"/>
      <c r="V27" s="272"/>
      <c r="W27" s="272"/>
      <c r="X27" s="166"/>
      <c r="Y27" s="166"/>
      <c r="Z27" s="166"/>
      <c r="AA27" s="166"/>
      <c r="AB27" s="166"/>
      <c r="AC27" s="166"/>
    </row>
    <row r="28" ht="15.75" customHeight="1">
      <c r="A28" s="166"/>
      <c r="B28" s="166"/>
      <c r="C28" s="166"/>
      <c r="D28" s="166"/>
      <c r="E28" s="166"/>
      <c r="F28" s="166"/>
      <c r="G28" s="272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272"/>
      <c r="U28" s="272"/>
      <c r="V28" s="272"/>
      <c r="W28" s="272"/>
      <c r="X28" s="166"/>
      <c r="Y28" s="166"/>
      <c r="Z28" s="166"/>
      <c r="AA28" s="166"/>
      <c r="AB28" s="166"/>
      <c r="AC28" s="166"/>
    </row>
    <row r="29" ht="15.75" customHeight="1">
      <c r="A29" s="166"/>
      <c r="B29" s="166"/>
      <c r="C29" s="166"/>
      <c r="D29" s="166"/>
      <c r="E29" s="166"/>
      <c r="F29" s="166"/>
      <c r="G29" s="272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272"/>
      <c r="U29" s="272"/>
      <c r="V29" s="272"/>
      <c r="W29" s="272"/>
      <c r="X29" s="166"/>
      <c r="Y29" s="166"/>
      <c r="Z29" s="166"/>
      <c r="AA29" s="166"/>
      <c r="AB29" s="166"/>
      <c r="AC29" s="166"/>
    </row>
    <row r="30" ht="15.75" customHeight="1">
      <c r="A30" s="166"/>
      <c r="B30" s="166"/>
      <c r="C30" s="166"/>
      <c r="D30" s="166"/>
      <c r="E30" s="166"/>
      <c r="F30" s="166"/>
      <c r="G30" s="272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272"/>
      <c r="U30" s="272"/>
      <c r="V30" s="272"/>
      <c r="W30" s="272"/>
      <c r="X30" s="166"/>
      <c r="Y30" s="166"/>
      <c r="Z30" s="166"/>
      <c r="AA30" s="166"/>
      <c r="AB30" s="166"/>
      <c r="AC30" s="166"/>
    </row>
    <row r="31" ht="15.75" customHeight="1">
      <c r="A31" s="166"/>
      <c r="B31" s="166"/>
      <c r="C31" s="166"/>
      <c r="D31" s="166"/>
      <c r="E31" s="166"/>
      <c r="F31" s="166"/>
      <c r="G31" s="272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272"/>
      <c r="U31" s="272"/>
      <c r="V31" s="272"/>
      <c r="W31" s="272"/>
      <c r="X31" s="166"/>
      <c r="Y31" s="166"/>
      <c r="Z31" s="166"/>
      <c r="AA31" s="166"/>
      <c r="AB31" s="166"/>
      <c r="AC31" s="166"/>
    </row>
    <row r="32" ht="15.75" customHeight="1">
      <c r="A32" s="166"/>
      <c r="B32" s="166"/>
      <c r="C32" s="166"/>
      <c r="D32" s="166"/>
      <c r="E32" s="166"/>
      <c r="F32" s="166"/>
      <c r="G32" s="272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272"/>
      <c r="U32" s="272"/>
      <c r="V32" s="272"/>
      <c r="W32" s="272"/>
      <c r="X32" s="166"/>
      <c r="Y32" s="166"/>
      <c r="Z32" s="166"/>
      <c r="AA32" s="166"/>
      <c r="AB32" s="166"/>
      <c r="AC32" s="166"/>
    </row>
    <row r="33" ht="15.75" customHeight="1">
      <c r="A33" s="166"/>
      <c r="B33" s="166"/>
      <c r="C33" s="166"/>
      <c r="D33" s="166"/>
      <c r="E33" s="166"/>
      <c r="F33" s="166"/>
      <c r="G33" s="272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272"/>
      <c r="U33" s="272"/>
      <c r="V33" s="272"/>
      <c r="W33" s="272"/>
      <c r="X33" s="166"/>
      <c r="Y33" s="166"/>
      <c r="Z33" s="166"/>
      <c r="AA33" s="166"/>
      <c r="AB33" s="166"/>
      <c r="AC33" s="166"/>
    </row>
    <row r="34" ht="15.75" customHeight="1">
      <c r="A34" s="166"/>
      <c r="B34" s="166"/>
      <c r="C34" s="166"/>
      <c r="D34" s="166"/>
      <c r="E34" s="166"/>
      <c r="F34" s="166"/>
      <c r="G34" s="272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272"/>
      <c r="U34" s="272"/>
      <c r="V34" s="272"/>
      <c r="W34" s="272"/>
      <c r="X34" s="166"/>
      <c r="Y34" s="166"/>
      <c r="Z34" s="166"/>
      <c r="AA34" s="166"/>
      <c r="AB34" s="166"/>
      <c r="AC34" s="166"/>
    </row>
    <row r="35" ht="15.75" customHeight="1">
      <c r="A35" s="166"/>
      <c r="B35" s="166"/>
      <c r="C35" s="166"/>
      <c r="D35" s="166"/>
      <c r="E35" s="166"/>
      <c r="F35" s="166"/>
      <c r="G35" s="272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272"/>
      <c r="U35" s="272"/>
      <c r="V35" s="272"/>
      <c r="W35" s="272"/>
      <c r="X35" s="166"/>
      <c r="Y35" s="166"/>
      <c r="Z35" s="166"/>
      <c r="AA35" s="166"/>
      <c r="AB35" s="166"/>
      <c r="AC35" s="166"/>
    </row>
    <row r="36" ht="15.75" customHeight="1">
      <c r="A36" s="166"/>
      <c r="B36" s="166"/>
      <c r="C36" s="166"/>
      <c r="D36" s="166"/>
      <c r="E36" s="166"/>
      <c r="F36" s="166"/>
      <c r="G36" s="27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272"/>
      <c r="U36" s="272"/>
      <c r="V36" s="272"/>
      <c r="W36" s="272"/>
      <c r="X36" s="166"/>
      <c r="Y36" s="166"/>
      <c r="Z36" s="166"/>
      <c r="AA36" s="166"/>
      <c r="AB36" s="166"/>
      <c r="AC36" s="166"/>
    </row>
    <row r="37" ht="15.75" customHeight="1">
      <c r="A37" s="166"/>
      <c r="B37" s="7"/>
      <c r="C37" s="166"/>
      <c r="D37" s="166"/>
      <c r="E37" s="166"/>
      <c r="F37" s="166"/>
      <c r="G37" s="272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272"/>
      <c r="U37" s="272"/>
      <c r="V37" s="272"/>
      <c r="W37" s="67"/>
      <c r="X37" s="166"/>
      <c r="Y37" s="166"/>
      <c r="Z37" s="166"/>
      <c r="AA37" s="166"/>
      <c r="AB37" s="166"/>
      <c r="AC37" s="166"/>
    </row>
    <row r="38" ht="15.75" customHeight="1">
      <c r="A38" s="7"/>
      <c r="B38" s="166"/>
      <c r="C38" s="7"/>
      <c r="D38" s="7"/>
      <c r="E38" s="7"/>
      <c r="F38" s="166"/>
      <c r="G38" s="272"/>
      <c r="H38" s="166"/>
      <c r="I38" s="166"/>
      <c r="J38" s="166"/>
      <c r="K38" s="166"/>
      <c r="L38" s="166"/>
      <c r="M38" s="166"/>
      <c r="N38" s="166"/>
      <c r="O38" s="36"/>
      <c r="P38" s="36"/>
      <c r="Q38" s="166"/>
      <c r="R38" s="166"/>
      <c r="S38" s="166"/>
      <c r="T38" s="272"/>
      <c r="U38" s="272"/>
      <c r="V38" s="272"/>
      <c r="W38" s="272"/>
      <c r="X38" s="166"/>
      <c r="Y38" s="166"/>
      <c r="Z38" s="166"/>
      <c r="AA38" s="166"/>
      <c r="AB38" s="166"/>
      <c r="AC38" s="166"/>
    </row>
    <row r="39" ht="15.75" customHeight="1">
      <c r="A39" s="7"/>
      <c r="B39" s="166"/>
      <c r="C39" s="7"/>
      <c r="D39" s="7"/>
      <c r="E39" s="166"/>
      <c r="F39" s="166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272"/>
      <c r="U39" s="272"/>
      <c r="V39" s="272"/>
      <c r="W39" s="67"/>
      <c r="X39" s="166"/>
      <c r="Y39" s="166"/>
      <c r="Z39" s="166"/>
      <c r="AA39" s="166"/>
      <c r="AB39" s="166"/>
      <c r="AC39" s="166"/>
    </row>
    <row r="40" ht="15.75" customHeight="1">
      <c r="A40" s="166"/>
      <c r="B40" s="7"/>
      <c r="C40" s="166"/>
      <c r="D40" s="7"/>
      <c r="E40" s="166"/>
      <c r="F40" s="166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272"/>
      <c r="U40" s="272"/>
      <c r="V40" s="272"/>
      <c r="W40" s="67"/>
      <c r="X40" s="166"/>
      <c r="Y40" s="166"/>
      <c r="Z40" s="166"/>
      <c r="AA40" s="166"/>
      <c r="AB40" s="166"/>
      <c r="AC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272"/>
      <c r="U41" s="272"/>
      <c r="V41" s="272"/>
      <c r="W41" s="67"/>
      <c r="X41" s="166"/>
      <c r="Y41" s="166"/>
      <c r="Z41" s="166"/>
      <c r="AA41" s="166"/>
      <c r="AB41" s="166"/>
      <c r="AC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272"/>
      <c r="U42" s="272"/>
      <c r="V42" s="272"/>
      <c r="W42" s="272"/>
      <c r="X42" s="166"/>
      <c r="Y42" s="166"/>
      <c r="Z42" s="166"/>
      <c r="AA42" s="166"/>
      <c r="AB42" s="166"/>
      <c r="AC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272"/>
      <c r="U43" s="272"/>
      <c r="V43" s="272"/>
      <c r="W43" s="272"/>
      <c r="X43" s="166"/>
      <c r="Y43" s="166"/>
      <c r="Z43" s="166"/>
      <c r="AA43" s="166"/>
      <c r="AB43" s="166"/>
      <c r="AC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166"/>
      <c r="J44" s="166"/>
      <c r="K44" s="166"/>
      <c r="L44" s="166"/>
      <c r="M44" s="166"/>
      <c r="N44" s="166"/>
      <c r="O44" s="36"/>
      <c r="P44" s="36"/>
      <c r="Q44" s="166"/>
      <c r="R44" s="166"/>
      <c r="S44" s="166"/>
      <c r="T44" s="272"/>
      <c r="U44" s="272"/>
      <c r="V44" s="272"/>
      <c r="W44" s="272"/>
      <c r="X44" s="166"/>
      <c r="Y44" s="166"/>
      <c r="Z44" s="166"/>
      <c r="AA44" s="166"/>
      <c r="AB44" s="166"/>
      <c r="AC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272"/>
      <c r="U45" s="272"/>
      <c r="V45" s="272"/>
      <c r="W45" s="272"/>
      <c r="X45" s="166"/>
      <c r="Y45" s="166"/>
      <c r="Z45" s="166"/>
      <c r="AA45" s="166"/>
      <c r="AB45" s="166"/>
      <c r="AC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272"/>
      <c r="U46" s="272"/>
      <c r="V46" s="272"/>
      <c r="W46" s="272"/>
      <c r="X46" s="166"/>
      <c r="Y46" s="166"/>
      <c r="Z46" s="166"/>
      <c r="AA46" s="166"/>
      <c r="AB46" s="166"/>
      <c r="AC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272"/>
      <c r="U47" s="67"/>
      <c r="V47" s="272"/>
      <c r="W47" s="272"/>
      <c r="X47" s="166"/>
      <c r="Y47" s="166"/>
      <c r="Z47" s="166"/>
      <c r="AA47" s="166"/>
      <c r="AB47" s="166"/>
      <c r="AC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273"/>
      <c r="J48" s="273"/>
      <c r="K48" s="166"/>
      <c r="L48" s="166"/>
      <c r="M48" s="166"/>
      <c r="N48" s="166"/>
      <c r="O48" s="166"/>
      <c r="P48" s="166"/>
      <c r="Q48" s="166"/>
      <c r="R48" s="166"/>
      <c r="S48" s="166"/>
      <c r="T48" s="272"/>
      <c r="U48" s="272"/>
      <c r="V48" s="272"/>
      <c r="W48" s="67"/>
      <c r="X48" s="166"/>
      <c r="Y48" s="166"/>
      <c r="Z48" s="166"/>
      <c r="AA48" s="166"/>
      <c r="AB48" s="166"/>
      <c r="AC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272"/>
      <c r="U49" s="272"/>
      <c r="V49" s="272"/>
      <c r="W49" s="272"/>
      <c r="X49" s="166"/>
      <c r="Y49" s="166"/>
      <c r="Z49" s="166"/>
      <c r="AA49" s="166"/>
      <c r="AB49" s="166"/>
      <c r="AC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166"/>
      <c r="J50" s="166"/>
      <c r="K50" s="166"/>
      <c r="L50" s="166"/>
      <c r="M50" s="166"/>
      <c r="N50" s="166"/>
      <c r="O50" s="36"/>
      <c r="P50" s="36"/>
      <c r="Q50" s="166"/>
      <c r="R50" s="166"/>
      <c r="S50" s="166"/>
      <c r="T50" s="272"/>
      <c r="U50" s="272"/>
      <c r="V50" s="272"/>
      <c r="W50" s="272"/>
      <c r="X50" s="166"/>
      <c r="Y50" s="166"/>
      <c r="Z50" s="166"/>
      <c r="AA50" s="166"/>
      <c r="AB50" s="166"/>
      <c r="AC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272"/>
      <c r="U51" s="272"/>
      <c r="V51" s="272"/>
      <c r="W51" s="272"/>
      <c r="X51" s="166"/>
      <c r="Y51" s="166"/>
      <c r="Z51" s="166"/>
      <c r="AA51" s="166"/>
      <c r="AB51" s="166"/>
      <c r="AC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272"/>
      <c r="U52" s="272"/>
      <c r="V52" s="272"/>
      <c r="W52" s="272"/>
      <c r="X52" s="166"/>
      <c r="Y52" s="166"/>
      <c r="Z52" s="166"/>
      <c r="AA52" s="166"/>
      <c r="AB52" s="166"/>
      <c r="AC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272"/>
      <c r="U53" s="272"/>
      <c r="V53" s="272"/>
      <c r="W53" s="272"/>
      <c r="X53" s="166"/>
      <c r="Y53" s="166"/>
      <c r="Z53" s="166"/>
      <c r="AA53" s="166"/>
      <c r="AB53" s="166"/>
      <c r="AC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272"/>
      <c r="U54" s="272"/>
      <c r="V54" s="272"/>
      <c r="W54" s="67"/>
      <c r="X54" s="166"/>
      <c r="Y54" s="166"/>
      <c r="Z54" s="166"/>
      <c r="AA54" s="166"/>
      <c r="AB54" s="166"/>
      <c r="AC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272"/>
      <c r="U55" s="272"/>
      <c r="V55" s="272"/>
      <c r="W55" s="272"/>
      <c r="X55" s="166"/>
      <c r="Y55" s="166"/>
      <c r="Z55" s="166"/>
      <c r="AA55" s="166"/>
      <c r="AB55" s="166"/>
      <c r="AC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272"/>
      <c r="U56" s="272"/>
      <c r="V56" s="272"/>
      <c r="W56" s="272"/>
      <c r="X56" s="166"/>
      <c r="Y56" s="166"/>
      <c r="Z56" s="166"/>
      <c r="AA56" s="166"/>
      <c r="AB56" s="166"/>
      <c r="AC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272"/>
      <c r="U57" s="272"/>
      <c r="V57" s="272"/>
      <c r="W57" s="272"/>
      <c r="X57" s="166"/>
      <c r="Y57" s="166"/>
      <c r="Z57" s="166"/>
      <c r="AA57" s="166"/>
      <c r="AB57" s="166"/>
      <c r="AC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272"/>
      <c r="U58" s="272"/>
      <c r="V58" s="272"/>
      <c r="W58" s="272"/>
      <c r="X58" s="166"/>
      <c r="Y58" s="166"/>
      <c r="Z58" s="166"/>
      <c r="AA58" s="166"/>
      <c r="AB58" s="166"/>
      <c r="AC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272"/>
      <c r="U59" s="272"/>
      <c r="V59" s="272"/>
      <c r="W59" s="272"/>
      <c r="X59" s="166"/>
      <c r="Y59" s="166"/>
      <c r="Z59" s="166"/>
      <c r="AA59" s="166"/>
      <c r="AB59" s="166"/>
      <c r="AC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272"/>
      <c r="U60" s="272"/>
      <c r="V60" s="272"/>
      <c r="W60" s="272"/>
      <c r="X60" s="166"/>
      <c r="Y60" s="166"/>
      <c r="Z60" s="166"/>
      <c r="AA60" s="166"/>
      <c r="AB60" s="166"/>
      <c r="AC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272"/>
      <c r="U61" s="272"/>
      <c r="V61" s="272"/>
      <c r="W61" s="272"/>
      <c r="X61" s="166"/>
      <c r="Y61" s="166"/>
      <c r="Z61" s="166"/>
      <c r="AA61" s="166"/>
      <c r="AB61" s="166"/>
      <c r="AC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272"/>
      <c r="U62" s="272"/>
      <c r="V62" s="272"/>
      <c r="W62" s="272"/>
      <c r="X62" s="166"/>
      <c r="Y62" s="166"/>
      <c r="Z62" s="166"/>
      <c r="AA62" s="166"/>
      <c r="AB62" s="166"/>
      <c r="AC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272"/>
      <c r="U63" s="272"/>
      <c r="V63" s="272"/>
      <c r="W63" s="272"/>
      <c r="X63" s="166"/>
      <c r="Y63" s="166"/>
      <c r="Z63" s="166"/>
      <c r="AA63" s="166"/>
      <c r="AB63" s="166"/>
      <c r="AC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272"/>
      <c r="U64" s="272"/>
      <c r="V64" s="272"/>
      <c r="W64" s="272"/>
      <c r="X64" s="166"/>
      <c r="Y64" s="166"/>
      <c r="Z64" s="166"/>
      <c r="AA64" s="166"/>
      <c r="AB64" s="166"/>
      <c r="AC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272"/>
      <c r="U65" s="272"/>
      <c r="V65" s="272"/>
      <c r="W65" s="272"/>
      <c r="X65" s="166"/>
      <c r="Y65" s="166"/>
      <c r="Z65" s="166"/>
      <c r="AA65" s="166"/>
      <c r="AB65" s="166"/>
      <c r="AC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272"/>
      <c r="U66" s="272"/>
      <c r="V66" s="272"/>
      <c r="W66" s="272"/>
      <c r="X66" s="166"/>
      <c r="Y66" s="166"/>
      <c r="Z66" s="166"/>
      <c r="AA66" s="166"/>
      <c r="AB66" s="166"/>
      <c r="AC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272"/>
      <c r="U67" s="272"/>
      <c r="V67" s="272"/>
      <c r="W67" s="272"/>
      <c r="X67" s="166"/>
      <c r="Y67" s="166"/>
      <c r="Z67" s="166"/>
      <c r="AA67" s="166"/>
      <c r="AB67" s="166"/>
      <c r="AC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272"/>
      <c r="U68" s="272"/>
      <c r="V68" s="272"/>
      <c r="W68" s="272"/>
      <c r="X68" s="166"/>
      <c r="Y68" s="166"/>
      <c r="Z68" s="166"/>
      <c r="AA68" s="166"/>
      <c r="AB68" s="166"/>
      <c r="AC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272"/>
      <c r="U69" s="272"/>
      <c r="V69" s="272"/>
      <c r="W69" s="272"/>
      <c r="X69" s="166"/>
      <c r="Y69" s="166"/>
      <c r="Z69" s="166"/>
      <c r="AA69" s="166"/>
      <c r="AB69" s="166"/>
      <c r="AC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272"/>
      <c r="U70" s="272"/>
      <c r="V70" s="272"/>
      <c r="W70" s="272"/>
      <c r="X70" s="166"/>
      <c r="Y70" s="166"/>
      <c r="Z70" s="166"/>
      <c r="AA70" s="166"/>
      <c r="AB70" s="166"/>
      <c r="AC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272"/>
      <c r="U71" s="272"/>
      <c r="V71" s="272"/>
      <c r="W71" s="272"/>
      <c r="X71" s="166"/>
      <c r="Y71" s="166"/>
      <c r="Z71" s="166"/>
      <c r="AA71" s="166"/>
      <c r="AB71" s="166"/>
      <c r="AC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272"/>
      <c r="U72" s="272"/>
      <c r="V72" s="272"/>
      <c r="W72" s="272"/>
      <c r="X72" s="166"/>
      <c r="Y72" s="166"/>
      <c r="Z72" s="166"/>
      <c r="AA72" s="166"/>
      <c r="AB72" s="166"/>
      <c r="AC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272"/>
      <c r="U73" s="272"/>
      <c r="V73" s="272"/>
      <c r="W73" s="272"/>
      <c r="X73" s="166"/>
      <c r="Y73" s="166"/>
      <c r="Z73" s="166"/>
      <c r="AA73" s="166"/>
      <c r="AB73" s="166"/>
      <c r="AC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272"/>
      <c r="U74" s="272"/>
      <c r="V74" s="272"/>
      <c r="W74" s="272"/>
      <c r="X74" s="166"/>
      <c r="Y74" s="166"/>
      <c r="Z74" s="166"/>
      <c r="AA74" s="166"/>
      <c r="AB74" s="166"/>
      <c r="AC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272"/>
      <c r="U75" s="272"/>
      <c r="V75" s="272"/>
      <c r="W75" s="272"/>
      <c r="X75" s="166"/>
      <c r="Y75" s="166"/>
      <c r="Z75" s="166"/>
      <c r="AA75" s="166"/>
      <c r="AB75" s="166"/>
      <c r="AC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272"/>
      <c r="U76" s="272"/>
      <c r="V76" s="272"/>
      <c r="W76" s="272"/>
      <c r="X76" s="166"/>
      <c r="Y76" s="166"/>
      <c r="Z76" s="166"/>
      <c r="AA76" s="166"/>
      <c r="AB76" s="166"/>
      <c r="AC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272"/>
      <c r="U77" s="272"/>
      <c r="V77" s="272"/>
      <c r="W77" s="272"/>
      <c r="X77" s="166"/>
      <c r="Y77" s="166"/>
      <c r="Z77" s="166"/>
      <c r="AA77" s="166"/>
      <c r="AB77" s="166"/>
      <c r="AC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272"/>
      <c r="U78" s="272"/>
      <c r="V78" s="272"/>
      <c r="W78" s="272"/>
      <c r="X78" s="166"/>
      <c r="Y78" s="166"/>
      <c r="Z78" s="166"/>
      <c r="AA78" s="166"/>
      <c r="AB78" s="166"/>
      <c r="AC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272"/>
      <c r="U79" s="272"/>
      <c r="V79" s="272"/>
      <c r="W79" s="272"/>
      <c r="X79" s="166"/>
      <c r="Y79" s="166"/>
      <c r="Z79" s="166"/>
      <c r="AA79" s="166"/>
      <c r="AB79" s="166"/>
      <c r="AC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272"/>
      <c r="U80" s="272"/>
      <c r="V80" s="272"/>
      <c r="W80" s="272"/>
      <c r="X80" s="166"/>
      <c r="Y80" s="166"/>
      <c r="Z80" s="166"/>
      <c r="AA80" s="166"/>
      <c r="AB80" s="166"/>
      <c r="AC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272"/>
      <c r="U81" s="272"/>
      <c r="V81" s="272"/>
      <c r="W81" s="272"/>
      <c r="X81" s="166"/>
      <c r="Y81" s="166"/>
      <c r="Z81" s="166"/>
      <c r="AA81" s="166"/>
      <c r="AB81" s="166"/>
      <c r="AC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272"/>
      <c r="U82" s="272"/>
      <c r="V82" s="272"/>
      <c r="W82" s="272"/>
      <c r="X82" s="166"/>
      <c r="Y82" s="166"/>
      <c r="Z82" s="166"/>
      <c r="AA82" s="166"/>
      <c r="AB82" s="166"/>
      <c r="AC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272"/>
      <c r="U83" s="272"/>
      <c r="V83" s="272"/>
      <c r="W83" s="272"/>
      <c r="X83" s="166"/>
      <c r="Y83" s="166"/>
      <c r="Z83" s="166"/>
      <c r="AA83" s="166"/>
      <c r="AB83" s="166"/>
      <c r="AC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272"/>
      <c r="U84" s="272"/>
      <c r="V84" s="272"/>
      <c r="W84" s="272"/>
      <c r="X84" s="166"/>
      <c r="Y84" s="166"/>
      <c r="Z84" s="166"/>
      <c r="AA84" s="166"/>
      <c r="AB84" s="166"/>
      <c r="AC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272"/>
      <c r="U85" s="272"/>
      <c r="V85" s="272"/>
      <c r="W85" s="272"/>
      <c r="X85" s="166"/>
      <c r="Y85" s="166"/>
      <c r="Z85" s="166"/>
      <c r="AA85" s="166"/>
      <c r="AB85" s="166"/>
      <c r="AC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272"/>
      <c r="U86" s="272"/>
      <c r="V86" s="272"/>
      <c r="W86" s="272"/>
      <c r="X86" s="166"/>
      <c r="Y86" s="166"/>
      <c r="Z86" s="166"/>
      <c r="AA86" s="166"/>
      <c r="AB86" s="166"/>
      <c r="AC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272"/>
      <c r="U87" s="272"/>
      <c r="V87" s="272"/>
      <c r="W87" s="272"/>
      <c r="X87" s="166"/>
      <c r="Y87" s="166"/>
      <c r="Z87" s="166"/>
      <c r="AA87" s="166"/>
      <c r="AB87" s="166"/>
      <c r="AC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272"/>
      <c r="U88" s="272"/>
      <c r="V88" s="272"/>
      <c r="W88" s="272"/>
      <c r="X88" s="166"/>
      <c r="Y88" s="166"/>
      <c r="Z88" s="166"/>
      <c r="AA88" s="166"/>
      <c r="AB88" s="166"/>
      <c r="AC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272"/>
      <c r="U89" s="272"/>
      <c r="V89" s="272"/>
      <c r="W89" s="272"/>
      <c r="X89" s="166"/>
      <c r="Y89" s="166"/>
      <c r="Z89" s="166"/>
      <c r="AA89" s="166"/>
      <c r="AB89" s="166"/>
      <c r="AC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272"/>
      <c r="U90" s="272"/>
      <c r="V90" s="272"/>
      <c r="W90" s="272"/>
      <c r="X90" s="166"/>
      <c r="Y90" s="166"/>
      <c r="Z90" s="166"/>
      <c r="AA90" s="166"/>
      <c r="AB90" s="166"/>
      <c r="AC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272"/>
      <c r="U91" s="272"/>
      <c r="V91" s="272"/>
      <c r="W91" s="272"/>
      <c r="X91" s="166"/>
      <c r="Y91" s="166"/>
      <c r="Z91" s="166"/>
      <c r="AA91" s="166"/>
      <c r="AB91" s="166"/>
      <c r="AC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272"/>
      <c r="U92" s="272"/>
      <c r="V92" s="272"/>
      <c r="W92" s="272"/>
      <c r="X92" s="166"/>
      <c r="Y92" s="166"/>
      <c r="Z92" s="166"/>
      <c r="AA92" s="166"/>
      <c r="AB92" s="166"/>
      <c r="AC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272"/>
      <c r="U93" s="272"/>
      <c r="V93" s="272"/>
      <c r="W93" s="272"/>
      <c r="X93" s="166"/>
      <c r="Y93" s="166"/>
      <c r="Z93" s="166"/>
      <c r="AA93" s="166"/>
      <c r="AB93" s="166"/>
      <c r="AC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272"/>
      <c r="U94" s="272"/>
      <c r="V94" s="272"/>
      <c r="W94" s="272"/>
      <c r="X94" s="166"/>
      <c r="Y94" s="166"/>
      <c r="Z94" s="166"/>
      <c r="AA94" s="166"/>
      <c r="AB94" s="166"/>
      <c r="AC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272"/>
      <c r="U95" s="272"/>
      <c r="V95" s="272"/>
      <c r="W95" s="272"/>
      <c r="X95" s="166"/>
      <c r="Y95" s="166"/>
      <c r="Z95" s="166"/>
      <c r="AA95" s="166"/>
      <c r="AB95" s="166"/>
      <c r="AC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272"/>
      <c r="U96" s="272"/>
      <c r="V96" s="272"/>
      <c r="W96" s="272"/>
      <c r="X96" s="166"/>
      <c r="Y96" s="166"/>
      <c r="Z96" s="166"/>
      <c r="AA96" s="166"/>
      <c r="AB96" s="166"/>
      <c r="AC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272"/>
      <c r="U97" s="272"/>
      <c r="V97" s="272"/>
      <c r="W97" s="272"/>
      <c r="X97" s="166"/>
      <c r="Y97" s="166"/>
      <c r="Z97" s="166"/>
      <c r="AA97" s="166"/>
      <c r="AB97" s="166"/>
      <c r="AC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272"/>
      <c r="U98" s="272"/>
      <c r="V98" s="272"/>
      <c r="W98" s="272"/>
      <c r="X98" s="166"/>
      <c r="Y98" s="166"/>
      <c r="Z98" s="166"/>
      <c r="AA98" s="166"/>
      <c r="AB98" s="166"/>
      <c r="AC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272"/>
      <c r="U99" s="272"/>
      <c r="V99" s="272"/>
      <c r="W99" s="272"/>
      <c r="X99" s="166"/>
      <c r="Y99" s="166"/>
      <c r="Z99" s="166"/>
      <c r="AA99" s="166"/>
      <c r="AB99" s="166"/>
      <c r="AC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272"/>
      <c r="U100" s="272"/>
      <c r="V100" s="272"/>
      <c r="W100" s="272"/>
      <c r="X100" s="166"/>
      <c r="Y100" s="166"/>
      <c r="Z100" s="166"/>
      <c r="AA100" s="166"/>
      <c r="AB100" s="166"/>
      <c r="AC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272"/>
      <c r="U101" s="272"/>
      <c r="V101" s="272"/>
      <c r="W101" s="272"/>
      <c r="X101" s="166"/>
      <c r="Y101" s="166"/>
      <c r="Z101" s="166"/>
      <c r="AA101" s="166"/>
      <c r="AB101" s="166"/>
      <c r="AC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272"/>
      <c r="U102" s="272"/>
      <c r="V102" s="272"/>
      <c r="W102" s="272"/>
      <c r="X102" s="166"/>
      <c r="Y102" s="166"/>
      <c r="Z102" s="166"/>
      <c r="AA102" s="166"/>
      <c r="AB102" s="166"/>
      <c r="AC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272"/>
      <c r="U103" s="272"/>
      <c r="V103" s="272"/>
      <c r="W103" s="272"/>
      <c r="X103" s="166"/>
      <c r="Y103" s="166"/>
      <c r="Z103" s="166"/>
      <c r="AA103" s="166"/>
      <c r="AB103" s="166"/>
      <c r="AC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272"/>
      <c r="U104" s="272"/>
      <c r="V104" s="272"/>
      <c r="W104" s="272"/>
      <c r="X104" s="166"/>
      <c r="Y104" s="166"/>
      <c r="Z104" s="166"/>
      <c r="AA104" s="166"/>
      <c r="AB104" s="166"/>
      <c r="AC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272"/>
      <c r="U105" s="272"/>
      <c r="V105" s="272"/>
      <c r="W105" s="272"/>
      <c r="X105" s="166"/>
      <c r="Y105" s="166"/>
      <c r="Z105" s="166"/>
      <c r="AA105" s="166"/>
      <c r="AB105" s="166"/>
      <c r="AC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272"/>
      <c r="U106" s="272"/>
      <c r="V106" s="272"/>
      <c r="W106" s="272"/>
      <c r="X106" s="166"/>
      <c r="Y106" s="166"/>
      <c r="Z106" s="166"/>
      <c r="AA106" s="166"/>
      <c r="AB106" s="166"/>
      <c r="AC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272"/>
      <c r="U107" s="272"/>
      <c r="V107" s="272"/>
      <c r="W107" s="272"/>
      <c r="X107" s="166"/>
      <c r="Y107" s="166"/>
      <c r="Z107" s="166"/>
      <c r="AA107" s="166"/>
      <c r="AB107" s="166"/>
      <c r="AC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272"/>
      <c r="U108" s="272"/>
      <c r="V108" s="272"/>
      <c r="W108" s="272"/>
      <c r="X108" s="166"/>
      <c r="Y108" s="166"/>
      <c r="Z108" s="166"/>
      <c r="AA108" s="166"/>
      <c r="AB108" s="166"/>
      <c r="AC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272"/>
      <c r="U109" s="272"/>
      <c r="V109" s="272"/>
      <c r="W109" s="272"/>
      <c r="X109" s="166"/>
      <c r="Y109" s="166"/>
      <c r="Z109" s="166"/>
      <c r="AA109" s="166"/>
      <c r="AB109" s="166"/>
      <c r="AC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272"/>
      <c r="U110" s="272"/>
      <c r="V110" s="272"/>
      <c r="W110" s="272"/>
      <c r="X110" s="166"/>
      <c r="Y110" s="166"/>
      <c r="Z110" s="166"/>
      <c r="AA110" s="166"/>
      <c r="AB110" s="166"/>
      <c r="AC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272"/>
      <c r="U111" s="272"/>
      <c r="V111" s="272"/>
      <c r="W111" s="272"/>
      <c r="X111" s="166"/>
      <c r="Y111" s="166"/>
      <c r="Z111" s="166"/>
      <c r="AA111" s="166"/>
      <c r="AB111" s="166"/>
      <c r="AC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272"/>
      <c r="U112" s="272"/>
      <c r="V112" s="272"/>
      <c r="W112" s="272"/>
      <c r="X112" s="166"/>
      <c r="Y112" s="166"/>
      <c r="Z112" s="166"/>
      <c r="AA112" s="166"/>
      <c r="AB112" s="166"/>
      <c r="AC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272"/>
      <c r="U113" s="272"/>
      <c r="V113" s="272"/>
      <c r="W113" s="272"/>
      <c r="X113" s="166"/>
      <c r="Y113" s="166"/>
      <c r="Z113" s="166"/>
      <c r="AA113" s="166"/>
      <c r="AB113" s="166"/>
      <c r="AC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272"/>
      <c r="U114" s="272"/>
      <c r="V114" s="272"/>
      <c r="W114" s="272"/>
      <c r="X114" s="166"/>
      <c r="Y114" s="166"/>
      <c r="Z114" s="166"/>
      <c r="AA114" s="166"/>
      <c r="AB114" s="166"/>
      <c r="AC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272"/>
      <c r="U115" s="272"/>
      <c r="V115" s="272"/>
      <c r="W115" s="272"/>
      <c r="X115" s="166"/>
      <c r="Y115" s="166"/>
      <c r="Z115" s="166"/>
      <c r="AA115" s="166"/>
      <c r="AB115" s="166"/>
      <c r="AC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272"/>
      <c r="U116" s="272"/>
      <c r="V116" s="272"/>
      <c r="W116" s="272"/>
      <c r="X116" s="166"/>
      <c r="Y116" s="166"/>
      <c r="Z116" s="166"/>
      <c r="AA116" s="166"/>
      <c r="AB116" s="166"/>
      <c r="AC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272"/>
      <c r="U117" s="272"/>
      <c r="V117" s="272"/>
      <c r="W117" s="272"/>
      <c r="X117" s="166"/>
      <c r="Y117" s="166"/>
      <c r="Z117" s="166"/>
      <c r="AA117" s="166"/>
      <c r="AB117" s="166"/>
      <c r="AC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272"/>
      <c r="U118" s="272"/>
      <c r="V118" s="272"/>
      <c r="W118" s="272"/>
      <c r="X118" s="166"/>
      <c r="Y118" s="166"/>
      <c r="Z118" s="166"/>
      <c r="AA118" s="166"/>
      <c r="AB118" s="166"/>
      <c r="AC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272"/>
      <c r="U119" s="272"/>
      <c r="V119" s="272"/>
      <c r="W119" s="272"/>
      <c r="X119" s="166"/>
      <c r="Y119" s="166"/>
      <c r="Z119" s="166"/>
      <c r="AA119" s="166"/>
      <c r="AB119" s="166"/>
      <c r="AC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272"/>
      <c r="U120" s="272"/>
      <c r="V120" s="272"/>
      <c r="W120" s="272"/>
      <c r="X120" s="166"/>
      <c r="Y120" s="166"/>
      <c r="Z120" s="166"/>
      <c r="AA120" s="166"/>
      <c r="AB120" s="166"/>
      <c r="AC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272"/>
      <c r="U121" s="272"/>
      <c r="V121" s="272"/>
      <c r="W121" s="272"/>
      <c r="X121" s="166"/>
      <c r="Y121" s="166"/>
      <c r="Z121" s="166"/>
      <c r="AA121" s="166"/>
      <c r="AB121" s="166"/>
      <c r="AC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272"/>
      <c r="U122" s="272"/>
      <c r="V122" s="272"/>
      <c r="W122" s="272"/>
      <c r="X122" s="166"/>
      <c r="Y122" s="166"/>
      <c r="Z122" s="166"/>
      <c r="AA122" s="166"/>
      <c r="AB122" s="166"/>
      <c r="AC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272"/>
      <c r="U123" s="272"/>
      <c r="V123" s="272"/>
      <c r="W123" s="272"/>
      <c r="X123" s="166"/>
      <c r="Y123" s="166"/>
      <c r="Z123" s="166"/>
      <c r="AA123" s="166"/>
      <c r="AB123" s="166"/>
      <c r="AC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272"/>
      <c r="U124" s="272"/>
      <c r="V124" s="272"/>
      <c r="W124" s="272"/>
      <c r="X124" s="166"/>
      <c r="Y124" s="166"/>
      <c r="Z124" s="166"/>
      <c r="AA124" s="166"/>
      <c r="AB124" s="166"/>
      <c r="AC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272"/>
      <c r="U125" s="272"/>
      <c r="V125" s="272"/>
      <c r="W125" s="272"/>
      <c r="X125" s="166"/>
      <c r="Y125" s="166"/>
      <c r="Z125" s="166"/>
      <c r="AA125" s="166"/>
      <c r="AB125" s="166"/>
      <c r="AC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272"/>
      <c r="U126" s="272"/>
      <c r="V126" s="272"/>
      <c r="W126" s="272"/>
      <c r="X126" s="166"/>
      <c r="Y126" s="166"/>
      <c r="Z126" s="166"/>
      <c r="AA126" s="166"/>
      <c r="AB126" s="166"/>
      <c r="AC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272"/>
      <c r="U127" s="272"/>
      <c r="V127" s="272"/>
      <c r="W127" s="272"/>
      <c r="X127" s="166"/>
      <c r="Y127" s="166"/>
      <c r="Z127" s="166"/>
      <c r="AA127" s="166"/>
      <c r="AB127" s="166"/>
      <c r="AC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272"/>
      <c r="U128" s="272"/>
      <c r="V128" s="272"/>
      <c r="W128" s="272"/>
      <c r="X128" s="166"/>
      <c r="Y128" s="166"/>
      <c r="Z128" s="166"/>
      <c r="AA128" s="166"/>
      <c r="AB128" s="166"/>
      <c r="AC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272"/>
      <c r="U129" s="272"/>
      <c r="V129" s="272"/>
      <c r="W129" s="272"/>
      <c r="X129" s="166"/>
      <c r="Y129" s="166"/>
      <c r="Z129" s="166"/>
      <c r="AA129" s="166"/>
      <c r="AB129" s="166"/>
      <c r="AC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272"/>
      <c r="U130" s="272"/>
      <c r="V130" s="272"/>
      <c r="W130" s="272"/>
      <c r="X130" s="166"/>
      <c r="Y130" s="166"/>
      <c r="Z130" s="166"/>
      <c r="AA130" s="166"/>
      <c r="AB130" s="166"/>
      <c r="AC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272"/>
      <c r="U131" s="272"/>
      <c r="V131" s="272"/>
      <c r="W131" s="272"/>
      <c r="X131" s="166"/>
      <c r="Y131" s="166"/>
      <c r="Z131" s="166"/>
      <c r="AA131" s="166"/>
      <c r="AB131" s="166"/>
      <c r="AC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272"/>
      <c r="U132" s="272"/>
      <c r="V132" s="272"/>
      <c r="W132" s="272"/>
      <c r="X132" s="166"/>
      <c r="Y132" s="166"/>
      <c r="Z132" s="166"/>
      <c r="AA132" s="166"/>
      <c r="AB132" s="166"/>
      <c r="AC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272"/>
      <c r="U133" s="272"/>
      <c r="V133" s="272"/>
      <c r="W133" s="272"/>
      <c r="X133" s="166"/>
      <c r="Y133" s="166"/>
      <c r="Z133" s="166"/>
      <c r="AA133" s="166"/>
      <c r="AB133" s="166"/>
      <c r="AC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272"/>
      <c r="U134" s="272"/>
      <c r="V134" s="272"/>
      <c r="W134" s="272"/>
      <c r="X134" s="166"/>
      <c r="Y134" s="166"/>
      <c r="Z134" s="166"/>
      <c r="AA134" s="166"/>
      <c r="AB134" s="166"/>
      <c r="AC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272"/>
      <c r="U135" s="272"/>
      <c r="V135" s="272"/>
      <c r="W135" s="272"/>
      <c r="X135" s="166"/>
      <c r="Y135" s="166"/>
      <c r="Z135" s="166"/>
      <c r="AA135" s="166"/>
      <c r="AB135" s="166"/>
      <c r="AC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272"/>
      <c r="U136" s="272"/>
      <c r="V136" s="272"/>
      <c r="W136" s="272"/>
      <c r="X136" s="166"/>
      <c r="Y136" s="166"/>
      <c r="Z136" s="166"/>
      <c r="AA136" s="166"/>
      <c r="AB136" s="166"/>
      <c r="AC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272"/>
      <c r="U137" s="272"/>
      <c r="V137" s="272"/>
      <c r="W137" s="272"/>
      <c r="X137" s="166"/>
      <c r="Y137" s="166"/>
      <c r="Z137" s="166"/>
      <c r="AA137" s="166"/>
      <c r="AB137" s="166"/>
      <c r="AC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272"/>
      <c r="U138" s="272"/>
      <c r="V138" s="272"/>
      <c r="W138" s="272"/>
      <c r="X138" s="166"/>
      <c r="Y138" s="166"/>
      <c r="Z138" s="166"/>
      <c r="AA138" s="166"/>
      <c r="AB138" s="166"/>
      <c r="AC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272"/>
      <c r="U139" s="272"/>
      <c r="V139" s="272"/>
      <c r="W139" s="272"/>
      <c r="X139" s="166"/>
      <c r="Y139" s="166"/>
      <c r="Z139" s="166"/>
      <c r="AA139" s="166"/>
      <c r="AB139" s="166"/>
      <c r="AC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272"/>
      <c r="U140" s="272"/>
      <c r="V140" s="272"/>
      <c r="W140" s="272"/>
      <c r="X140" s="166"/>
      <c r="Y140" s="166"/>
      <c r="Z140" s="166"/>
      <c r="AA140" s="166"/>
      <c r="AB140" s="166"/>
      <c r="AC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272"/>
      <c r="U141" s="272"/>
      <c r="V141" s="272"/>
      <c r="W141" s="272"/>
      <c r="X141" s="166"/>
      <c r="Y141" s="166"/>
      <c r="Z141" s="166"/>
      <c r="AA141" s="166"/>
      <c r="AB141" s="166"/>
      <c r="AC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272"/>
      <c r="U142" s="272"/>
      <c r="V142" s="272"/>
      <c r="W142" s="272"/>
      <c r="X142" s="166"/>
      <c r="Y142" s="166"/>
      <c r="Z142" s="166"/>
      <c r="AA142" s="166"/>
      <c r="AB142" s="166"/>
      <c r="AC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272"/>
      <c r="U143" s="272"/>
      <c r="V143" s="272"/>
      <c r="W143" s="272"/>
      <c r="X143" s="166"/>
      <c r="Y143" s="166"/>
      <c r="Z143" s="166"/>
      <c r="AA143" s="166"/>
      <c r="AB143" s="166"/>
      <c r="AC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272"/>
      <c r="U144" s="272"/>
      <c r="V144" s="272"/>
      <c r="W144" s="272"/>
      <c r="X144" s="166"/>
      <c r="Y144" s="166"/>
      <c r="Z144" s="166"/>
      <c r="AA144" s="166"/>
      <c r="AB144" s="166"/>
      <c r="AC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272"/>
      <c r="U145" s="272"/>
      <c r="V145" s="272"/>
      <c r="W145" s="272"/>
      <c r="X145" s="166"/>
      <c r="Y145" s="166"/>
      <c r="Z145" s="166"/>
      <c r="AA145" s="166"/>
      <c r="AB145" s="166"/>
      <c r="AC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272"/>
      <c r="U146" s="272"/>
      <c r="V146" s="272"/>
      <c r="W146" s="272"/>
      <c r="X146" s="166"/>
      <c r="Y146" s="166"/>
      <c r="Z146" s="166"/>
      <c r="AA146" s="166"/>
      <c r="AB146" s="166"/>
      <c r="AC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272"/>
      <c r="U147" s="272"/>
      <c r="V147" s="272"/>
      <c r="W147" s="272"/>
      <c r="X147" s="166"/>
      <c r="Y147" s="166"/>
      <c r="Z147" s="166"/>
      <c r="AA147" s="166"/>
      <c r="AB147" s="166"/>
      <c r="AC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272"/>
      <c r="U148" s="272"/>
      <c r="V148" s="272"/>
      <c r="W148" s="272"/>
      <c r="X148" s="166"/>
      <c r="Y148" s="166"/>
      <c r="Z148" s="166"/>
      <c r="AA148" s="166"/>
      <c r="AB148" s="166"/>
      <c r="AC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272"/>
      <c r="U149" s="272"/>
      <c r="V149" s="272"/>
      <c r="W149" s="272"/>
      <c r="X149" s="166"/>
      <c r="Y149" s="166"/>
      <c r="Z149" s="166"/>
      <c r="AA149" s="166"/>
      <c r="AB149" s="166"/>
      <c r="AC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272"/>
      <c r="U150" s="272"/>
      <c r="V150" s="272"/>
      <c r="W150" s="272"/>
      <c r="X150" s="166"/>
      <c r="Y150" s="166"/>
      <c r="Z150" s="166"/>
      <c r="AA150" s="166"/>
      <c r="AB150" s="166"/>
      <c r="AC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272"/>
      <c r="U151" s="272"/>
      <c r="V151" s="272"/>
      <c r="W151" s="272"/>
      <c r="X151" s="166"/>
      <c r="Y151" s="166"/>
      <c r="Z151" s="166"/>
      <c r="AA151" s="166"/>
      <c r="AB151" s="166"/>
      <c r="AC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272"/>
      <c r="U152" s="272"/>
      <c r="V152" s="272"/>
      <c r="W152" s="272"/>
      <c r="X152" s="166"/>
      <c r="Y152" s="166"/>
      <c r="Z152" s="166"/>
      <c r="AA152" s="166"/>
      <c r="AB152" s="166"/>
      <c r="AC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272"/>
      <c r="U153" s="272"/>
      <c r="V153" s="272"/>
      <c r="W153" s="272"/>
      <c r="X153" s="166"/>
      <c r="Y153" s="166"/>
      <c r="Z153" s="166"/>
      <c r="AA153" s="166"/>
      <c r="AB153" s="166"/>
      <c r="AC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272"/>
      <c r="U154" s="272"/>
      <c r="V154" s="272"/>
      <c r="W154" s="272"/>
      <c r="X154" s="166"/>
      <c r="Y154" s="166"/>
      <c r="Z154" s="166"/>
      <c r="AA154" s="166"/>
      <c r="AB154" s="166"/>
      <c r="AC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272"/>
      <c r="U155" s="272"/>
      <c r="V155" s="272"/>
      <c r="W155" s="272"/>
      <c r="X155" s="166"/>
      <c r="Y155" s="166"/>
      <c r="Z155" s="166"/>
      <c r="AA155" s="166"/>
      <c r="AB155" s="166"/>
      <c r="AC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272"/>
      <c r="U156" s="272"/>
      <c r="V156" s="272"/>
      <c r="W156" s="272"/>
      <c r="X156" s="166"/>
      <c r="Y156" s="166"/>
      <c r="Z156" s="166"/>
      <c r="AA156" s="166"/>
      <c r="AB156" s="166"/>
      <c r="AC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272"/>
      <c r="U157" s="272"/>
      <c r="V157" s="272"/>
      <c r="W157" s="272"/>
      <c r="X157" s="166"/>
      <c r="Y157" s="166"/>
      <c r="Z157" s="166"/>
      <c r="AA157" s="166"/>
      <c r="AB157" s="166"/>
      <c r="AC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272"/>
      <c r="U158" s="272"/>
      <c r="V158" s="272"/>
      <c r="W158" s="272"/>
      <c r="X158" s="166"/>
      <c r="Y158" s="166"/>
      <c r="Z158" s="166"/>
      <c r="AA158" s="166"/>
      <c r="AB158" s="166"/>
      <c r="AC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272"/>
      <c r="U159" s="272"/>
      <c r="V159" s="272"/>
      <c r="W159" s="272"/>
      <c r="X159" s="166"/>
      <c r="Y159" s="166"/>
      <c r="Z159" s="166"/>
      <c r="AA159" s="166"/>
      <c r="AB159" s="166"/>
      <c r="AC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272"/>
      <c r="U160" s="272"/>
      <c r="V160" s="272"/>
      <c r="W160" s="272"/>
      <c r="X160" s="166"/>
      <c r="Y160" s="166"/>
      <c r="Z160" s="166"/>
      <c r="AA160" s="166"/>
      <c r="AB160" s="166"/>
      <c r="AC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272"/>
      <c r="U161" s="272"/>
      <c r="V161" s="272"/>
      <c r="W161" s="272"/>
      <c r="X161" s="166"/>
      <c r="Y161" s="166"/>
      <c r="Z161" s="166"/>
      <c r="AA161" s="166"/>
      <c r="AB161" s="166"/>
      <c r="AC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272"/>
      <c r="U162" s="272"/>
      <c r="V162" s="272"/>
      <c r="W162" s="272"/>
      <c r="X162" s="166"/>
      <c r="Y162" s="166"/>
      <c r="Z162" s="166"/>
      <c r="AA162" s="166"/>
      <c r="AB162" s="166"/>
      <c r="AC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272"/>
      <c r="U163" s="272"/>
      <c r="V163" s="272"/>
      <c r="W163" s="272"/>
      <c r="X163" s="166"/>
      <c r="Y163" s="166"/>
      <c r="Z163" s="166"/>
      <c r="AA163" s="166"/>
      <c r="AB163" s="166"/>
      <c r="AC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272"/>
      <c r="U164" s="272"/>
      <c r="V164" s="272"/>
      <c r="W164" s="272"/>
      <c r="X164" s="166"/>
      <c r="Y164" s="166"/>
      <c r="Z164" s="166"/>
      <c r="AA164" s="166"/>
      <c r="AB164" s="166"/>
      <c r="AC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272"/>
      <c r="U165" s="272"/>
      <c r="V165" s="272"/>
      <c r="W165" s="272"/>
      <c r="X165" s="166"/>
      <c r="Y165" s="166"/>
      <c r="Z165" s="166"/>
      <c r="AA165" s="166"/>
      <c r="AB165" s="166"/>
      <c r="AC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272"/>
      <c r="U166" s="272"/>
      <c r="V166" s="272"/>
      <c r="W166" s="272"/>
      <c r="X166" s="166"/>
      <c r="Y166" s="166"/>
      <c r="Z166" s="166"/>
      <c r="AA166" s="166"/>
      <c r="AB166" s="166"/>
      <c r="AC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272"/>
      <c r="U167" s="272"/>
      <c r="V167" s="272"/>
      <c r="W167" s="272"/>
      <c r="X167" s="166"/>
      <c r="Y167" s="166"/>
      <c r="Z167" s="166"/>
      <c r="AA167" s="166"/>
      <c r="AB167" s="166"/>
      <c r="AC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272"/>
      <c r="U168" s="272"/>
      <c r="V168" s="272"/>
      <c r="W168" s="272"/>
      <c r="X168" s="166"/>
      <c r="Y168" s="166"/>
      <c r="Z168" s="166"/>
      <c r="AA168" s="166"/>
      <c r="AB168" s="166"/>
      <c r="AC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272"/>
      <c r="U169" s="272"/>
      <c r="V169" s="272"/>
      <c r="W169" s="272"/>
      <c r="X169" s="166"/>
      <c r="Y169" s="166"/>
      <c r="Z169" s="166"/>
      <c r="AA169" s="166"/>
      <c r="AB169" s="166"/>
      <c r="AC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272"/>
      <c r="U170" s="272"/>
      <c r="V170" s="272"/>
      <c r="W170" s="272"/>
      <c r="X170" s="166"/>
      <c r="Y170" s="166"/>
      <c r="Z170" s="166"/>
      <c r="AA170" s="166"/>
      <c r="AB170" s="166"/>
      <c r="AC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272"/>
      <c r="U171" s="272"/>
      <c r="V171" s="272"/>
      <c r="W171" s="272"/>
      <c r="X171" s="166"/>
      <c r="Y171" s="166"/>
      <c r="Z171" s="166"/>
      <c r="AA171" s="166"/>
      <c r="AB171" s="166"/>
      <c r="AC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272"/>
      <c r="U172" s="272"/>
      <c r="V172" s="272"/>
      <c r="W172" s="272"/>
      <c r="X172" s="166"/>
      <c r="Y172" s="166"/>
      <c r="Z172" s="166"/>
      <c r="AA172" s="166"/>
      <c r="AB172" s="166"/>
      <c r="AC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272"/>
      <c r="U173" s="272"/>
      <c r="V173" s="272"/>
      <c r="W173" s="272"/>
      <c r="X173" s="166"/>
      <c r="Y173" s="166"/>
      <c r="Z173" s="166"/>
      <c r="AA173" s="166"/>
      <c r="AB173" s="166"/>
      <c r="AC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272"/>
      <c r="U174" s="272"/>
      <c r="V174" s="272"/>
      <c r="W174" s="272"/>
      <c r="X174" s="166"/>
      <c r="Y174" s="166"/>
      <c r="Z174" s="166"/>
      <c r="AA174" s="166"/>
      <c r="AB174" s="166"/>
      <c r="AC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272"/>
      <c r="U175" s="272"/>
      <c r="V175" s="272"/>
      <c r="W175" s="272"/>
      <c r="X175" s="166"/>
      <c r="Y175" s="166"/>
      <c r="Z175" s="166"/>
      <c r="AA175" s="166"/>
      <c r="AB175" s="166"/>
      <c r="AC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272"/>
      <c r="U176" s="272"/>
      <c r="V176" s="272"/>
      <c r="W176" s="272"/>
      <c r="X176" s="166"/>
      <c r="Y176" s="166"/>
      <c r="Z176" s="166"/>
      <c r="AA176" s="166"/>
      <c r="AB176" s="166"/>
      <c r="AC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272"/>
      <c r="U177" s="272"/>
      <c r="V177" s="272"/>
      <c r="W177" s="272"/>
      <c r="X177" s="166"/>
      <c r="Y177" s="166"/>
      <c r="Z177" s="166"/>
      <c r="AA177" s="166"/>
      <c r="AB177" s="166"/>
      <c r="AC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272"/>
      <c r="U178" s="272"/>
      <c r="V178" s="272"/>
      <c r="W178" s="272"/>
      <c r="X178" s="166"/>
      <c r="Y178" s="166"/>
      <c r="Z178" s="166"/>
      <c r="AA178" s="166"/>
      <c r="AB178" s="166"/>
      <c r="AC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272"/>
      <c r="U179" s="272"/>
      <c r="V179" s="272"/>
      <c r="W179" s="272"/>
      <c r="X179" s="166"/>
      <c r="Y179" s="166"/>
      <c r="Z179" s="166"/>
      <c r="AA179" s="166"/>
      <c r="AB179" s="166"/>
      <c r="AC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272"/>
      <c r="U180" s="272"/>
      <c r="V180" s="272"/>
      <c r="W180" s="272"/>
      <c r="X180" s="166"/>
      <c r="Y180" s="166"/>
      <c r="Z180" s="166"/>
      <c r="AA180" s="166"/>
      <c r="AB180" s="166"/>
      <c r="AC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272"/>
      <c r="U181" s="272"/>
      <c r="V181" s="272"/>
      <c r="W181" s="272"/>
      <c r="X181" s="166"/>
      <c r="Y181" s="166"/>
      <c r="Z181" s="166"/>
      <c r="AA181" s="166"/>
      <c r="AB181" s="166"/>
      <c r="AC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272"/>
      <c r="U182" s="272"/>
      <c r="V182" s="272"/>
      <c r="W182" s="272"/>
      <c r="X182" s="166"/>
      <c r="Y182" s="166"/>
      <c r="Z182" s="166"/>
      <c r="AA182" s="166"/>
      <c r="AB182" s="166"/>
      <c r="AC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272"/>
      <c r="U183" s="272"/>
      <c r="V183" s="272"/>
      <c r="W183" s="272"/>
      <c r="X183" s="166"/>
      <c r="Y183" s="166"/>
      <c r="Z183" s="166"/>
      <c r="AA183" s="166"/>
      <c r="AB183" s="166"/>
      <c r="AC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272"/>
      <c r="U184" s="272"/>
      <c r="V184" s="272"/>
      <c r="W184" s="272"/>
      <c r="X184" s="166"/>
      <c r="Y184" s="166"/>
      <c r="Z184" s="166"/>
      <c r="AA184" s="166"/>
      <c r="AB184" s="166"/>
      <c r="AC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272"/>
      <c r="U185" s="272"/>
      <c r="V185" s="272"/>
      <c r="W185" s="272"/>
      <c r="X185" s="166"/>
      <c r="Y185" s="166"/>
      <c r="Z185" s="166"/>
      <c r="AA185" s="166"/>
      <c r="AB185" s="166"/>
      <c r="AC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272"/>
      <c r="U186" s="272"/>
      <c r="V186" s="272"/>
      <c r="W186" s="272"/>
      <c r="X186" s="166"/>
      <c r="Y186" s="166"/>
      <c r="Z186" s="166"/>
      <c r="AA186" s="166"/>
      <c r="AB186" s="166"/>
      <c r="AC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272"/>
      <c r="U187" s="272"/>
      <c r="V187" s="272"/>
      <c r="W187" s="272"/>
      <c r="X187" s="166"/>
      <c r="Y187" s="166"/>
      <c r="Z187" s="166"/>
      <c r="AA187" s="166"/>
      <c r="AB187" s="166"/>
      <c r="AC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272"/>
      <c r="U188" s="272"/>
      <c r="V188" s="272"/>
      <c r="W188" s="272"/>
      <c r="X188" s="166"/>
      <c r="Y188" s="166"/>
      <c r="Z188" s="166"/>
      <c r="AA188" s="166"/>
      <c r="AB188" s="166"/>
      <c r="AC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272"/>
      <c r="U189" s="272"/>
      <c r="V189" s="272"/>
      <c r="W189" s="272"/>
      <c r="X189" s="166"/>
      <c r="Y189" s="166"/>
      <c r="Z189" s="166"/>
      <c r="AA189" s="166"/>
      <c r="AB189" s="166"/>
      <c r="AC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272"/>
      <c r="U190" s="272"/>
      <c r="V190" s="272"/>
      <c r="W190" s="272"/>
      <c r="X190" s="166"/>
      <c r="Y190" s="166"/>
      <c r="Z190" s="166"/>
      <c r="AA190" s="166"/>
      <c r="AB190" s="166"/>
      <c r="AC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272"/>
      <c r="U191" s="272"/>
      <c r="V191" s="272"/>
      <c r="W191" s="272"/>
      <c r="X191" s="166"/>
      <c r="Y191" s="166"/>
      <c r="Z191" s="166"/>
      <c r="AA191" s="166"/>
      <c r="AB191" s="166"/>
      <c r="AC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272"/>
      <c r="U192" s="272"/>
      <c r="V192" s="272"/>
      <c r="W192" s="272"/>
      <c r="X192" s="166"/>
      <c r="Y192" s="166"/>
      <c r="Z192" s="166"/>
      <c r="AA192" s="166"/>
      <c r="AB192" s="166"/>
      <c r="AC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272"/>
      <c r="U193" s="272"/>
      <c r="V193" s="272"/>
      <c r="W193" s="272"/>
      <c r="X193" s="166"/>
      <c r="Y193" s="166"/>
      <c r="Z193" s="166"/>
      <c r="AA193" s="166"/>
      <c r="AB193" s="166"/>
      <c r="AC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272"/>
      <c r="U194" s="272"/>
      <c r="V194" s="272"/>
      <c r="W194" s="272"/>
      <c r="X194" s="166"/>
      <c r="Y194" s="166"/>
      <c r="Z194" s="166"/>
      <c r="AA194" s="166"/>
      <c r="AB194" s="166"/>
      <c r="AC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272"/>
      <c r="U195" s="272"/>
      <c r="V195" s="272"/>
      <c r="W195" s="272"/>
      <c r="X195" s="166"/>
      <c r="Y195" s="166"/>
      <c r="Z195" s="166"/>
      <c r="AA195" s="166"/>
      <c r="AB195" s="166"/>
      <c r="AC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272"/>
      <c r="U196" s="272"/>
      <c r="V196" s="272"/>
      <c r="W196" s="272"/>
      <c r="X196" s="166"/>
      <c r="Y196" s="166"/>
      <c r="Z196" s="166"/>
      <c r="AA196" s="166"/>
      <c r="AB196" s="166"/>
      <c r="AC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272"/>
      <c r="U197" s="272"/>
      <c r="V197" s="272"/>
      <c r="W197" s="272"/>
      <c r="X197" s="166"/>
      <c r="Y197" s="166"/>
      <c r="Z197" s="166"/>
      <c r="AA197" s="166"/>
      <c r="AB197" s="166"/>
      <c r="AC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272"/>
      <c r="U198" s="272"/>
      <c r="V198" s="272"/>
      <c r="W198" s="272"/>
      <c r="X198" s="166"/>
      <c r="Y198" s="166"/>
      <c r="Z198" s="166"/>
      <c r="AA198" s="166"/>
      <c r="AB198" s="166"/>
      <c r="AC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272"/>
      <c r="U199" s="272"/>
      <c r="V199" s="272"/>
      <c r="W199" s="272"/>
      <c r="X199" s="166"/>
      <c r="Y199" s="166"/>
      <c r="Z199" s="166"/>
      <c r="AA199" s="166"/>
      <c r="AB199" s="166"/>
      <c r="AC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272"/>
      <c r="U200" s="272"/>
      <c r="V200" s="272"/>
      <c r="W200" s="272"/>
      <c r="X200" s="166"/>
      <c r="Y200" s="166"/>
      <c r="Z200" s="166"/>
      <c r="AA200" s="166"/>
      <c r="AB200" s="166"/>
      <c r="AC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272"/>
      <c r="U201" s="272"/>
      <c r="V201" s="272"/>
      <c r="W201" s="272"/>
      <c r="X201" s="166"/>
      <c r="Y201" s="166"/>
      <c r="Z201" s="166"/>
      <c r="AA201" s="166"/>
      <c r="AB201" s="166"/>
      <c r="AC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272"/>
      <c r="U202" s="272"/>
      <c r="V202" s="272"/>
      <c r="W202" s="272"/>
      <c r="X202" s="166"/>
      <c r="Y202" s="166"/>
      <c r="Z202" s="166"/>
      <c r="AA202" s="166"/>
      <c r="AB202" s="166"/>
      <c r="AC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272"/>
      <c r="U203" s="272"/>
      <c r="V203" s="272"/>
      <c r="W203" s="272"/>
      <c r="X203" s="166"/>
      <c r="Y203" s="166"/>
      <c r="Z203" s="166"/>
      <c r="AA203" s="166"/>
      <c r="AB203" s="166"/>
      <c r="AC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272"/>
      <c r="U204" s="272"/>
      <c r="V204" s="272"/>
      <c r="W204" s="272"/>
      <c r="X204" s="166"/>
      <c r="Y204" s="166"/>
      <c r="Z204" s="166"/>
      <c r="AA204" s="166"/>
      <c r="AB204" s="166"/>
      <c r="AC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272"/>
      <c r="U205" s="272"/>
      <c r="V205" s="272"/>
      <c r="W205" s="272"/>
      <c r="X205" s="166"/>
      <c r="Y205" s="166"/>
      <c r="Z205" s="166"/>
      <c r="AA205" s="166"/>
      <c r="AB205" s="166"/>
      <c r="AC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272"/>
      <c r="U206" s="272"/>
      <c r="V206" s="272"/>
      <c r="W206" s="272"/>
      <c r="X206" s="166"/>
      <c r="Y206" s="166"/>
      <c r="Z206" s="166"/>
      <c r="AA206" s="166"/>
      <c r="AB206" s="166"/>
      <c r="AC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272"/>
      <c r="U207" s="272"/>
      <c r="V207" s="272"/>
      <c r="W207" s="272"/>
      <c r="X207" s="166"/>
      <c r="Y207" s="166"/>
      <c r="Z207" s="166"/>
      <c r="AA207" s="166"/>
      <c r="AB207" s="166"/>
      <c r="AC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272"/>
      <c r="U208" s="272"/>
      <c r="V208" s="272"/>
      <c r="W208" s="272"/>
      <c r="X208" s="166"/>
      <c r="Y208" s="166"/>
      <c r="Z208" s="166"/>
      <c r="AA208" s="166"/>
      <c r="AB208" s="166"/>
      <c r="AC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272"/>
      <c r="U209" s="272"/>
      <c r="V209" s="272"/>
      <c r="W209" s="272"/>
      <c r="X209" s="166"/>
      <c r="Y209" s="166"/>
      <c r="Z209" s="166"/>
      <c r="AA209" s="166"/>
      <c r="AB209" s="166"/>
      <c r="AC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272"/>
      <c r="U210" s="272"/>
      <c r="V210" s="272"/>
      <c r="W210" s="272"/>
      <c r="X210" s="166"/>
      <c r="Y210" s="166"/>
      <c r="Z210" s="166"/>
      <c r="AA210" s="166"/>
      <c r="AB210" s="166"/>
      <c r="AC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272"/>
      <c r="U211" s="272"/>
      <c r="V211" s="272"/>
      <c r="W211" s="272"/>
      <c r="X211" s="166"/>
      <c r="Y211" s="166"/>
      <c r="Z211" s="166"/>
      <c r="AA211" s="166"/>
      <c r="AB211" s="166"/>
      <c r="AC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272"/>
      <c r="U212" s="272"/>
      <c r="V212" s="272"/>
      <c r="W212" s="272"/>
      <c r="X212" s="166"/>
      <c r="Y212" s="166"/>
      <c r="Z212" s="166"/>
      <c r="AA212" s="166"/>
      <c r="AB212" s="166"/>
      <c r="AC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272"/>
      <c r="U213" s="272"/>
      <c r="V213" s="272"/>
      <c r="W213" s="272"/>
      <c r="X213" s="166"/>
      <c r="Y213" s="166"/>
      <c r="Z213" s="166"/>
      <c r="AA213" s="166"/>
      <c r="AB213" s="166"/>
      <c r="AC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272"/>
      <c r="U214" s="272"/>
      <c r="V214" s="272"/>
      <c r="W214" s="272"/>
      <c r="X214" s="166"/>
      <c r="Y214" s="166"/>
      <c r="Z214" s="166"/>
      <c r="AA214" s="166"/>
      <c r="AB214" s="166"/>
      <c r="AC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272"/>
      <c r="U215" s="272"/>
      <c r="V215" s="272"/>
      <c r="W215" s="272"/>
      <c r="X215" s="166"/>
      <c r="Y215" s="166"/>
      <c r="Z215" s="166"/>
      <c r="AA215" s="166"/>
      <c r="AB215" s="166"/>
      <c r="AC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272"/>
      <c r="U216" s="272"/>
      <c r="V216" s="272"/>
      <c r="W216" s="272"/>
      <c r="X216" s="166"/>
      <c r="Y216" s="166"/>
      <c r="Z216" s="166"/>
      <c r="AA216" s="166"/>
      <c r="AB216" s="166"/>
      <c r="AC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272"/>
      <c r="U217" s="272"/>
      <c r="V217" s="272"/>
      <c r="W217" s="272"/>
      <c r="X217" s="166"/>
      <c r="Y217" s="166"/>
      <c r="Z217" s="166"/>
      <c r="AA217" s="166"/>
      <c r="AB217" s="166"/>
      <c r="AC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272"/>
      <c r="U218" s="272"/>
      <c r="V218" s="272"/>
      <c r="W218" s="272"/>
      <c r="X218" s="166"/>
      <c r="Y218" s="166"/>
      <c r="Z218" s="166"/>
      <c r="AA218" s="166"/>
      <c r="AB218" s="166"/>
      <c r="AC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272"/>
      <c r="U219" s="272"/>
      <c r="V219" s="272"/>
      <c r="W219" s="272"/>
      <c r="X219" s="166"/>
      <c r="Y219" s="166"/>
      <c r="Z219" s="166"/>
      <c r="AA219" s="166"/>
      <c r="AB219" s="166"/>
      <c r="AC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272"/>
      <c r="U220" s="272"/>
      <c r="V220" s="272"/>
      <c r="W220" s="272"/>
      <c r="X220" s="166"/>
      <c r="Y220" s="166"/>
      <c r="Z220" s="166"/>
      <c r="AA220" s="166"/>
      <c r="AB220" s="166"/>
      <c r="AC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4">
    <mergeCell ref="A2:H2"/>
    <mergeCell ref="I2:L2"/>
    <mergeCell ref="N2:P2"/>
    <mergeCell ref="R2:T2"/>
  </mergeCell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2.63"/>
    <col customWidth="1" min="3" max="3" width="10.88"/>
    <col customWidth="1" min="4" max="4" width="11.25"/>
    <col customWidth="1" min="5" max="5" width="12.63"/>
    <col customWidth="1" min="6" max="6" width="10.38"/>
    <col customWidth="1" min="7" max="7" width="9.25"/>
    <col customWidth="1" min="8" max="8" width="7.88"/>
    <col customWidth="1" hidden="1" min="9" max="9" width="11.25"/>
    <col customWidth="1" min="10" max="10" width="9.0"/>
    <col customWidth="1" min="11" max="11" width="9.88"/>
    <col customWidth="1" min="12" max="12" width="10.5"/>
    <col customWidth="1" min="13" max="13" width="8.88"/>
    <col customWidth="1" min="14" max="14" width="8.13"/>
    <col customWidth="1" min="15" max="15" width="11.38"/>
    <col customWidth="1" min="16" max="16" width="9.75"/>
    <col customWidth="1" min="17" max="17" width="8.25"/>
    <col customWidth="1" min="18" max="18" width="7.63"/>
    <col customWidth="1" min="19" max="20" width="10.13"/>
  </cols>
  <sheetData>
    <row r="1" ht="15.75" customHeight="1">
      <c r="A1" s="165"/>
      <c r="H1" s="166"/>
      <c r="I1" s="167"/>
      <c r="J1" s="167"/>
      <c r="K1" s="167"/>
      <c r="L1" s="485"/>
      <c r="M1" s="166"/>
      <c r="N1" s="166"/>
      <c r="O1" s="166"/>
      <c r="P1" s="166"/>
      <c r="Q1" s="166"/>
      <c r="R1" s="166"/>
      <c r="S1" s="166"/>
      <c r="T1" s="166"/>
    </row>
    <row r="2" ht="15.75" customHeight="1">
      <c r="A2" s="486"/>
      <c r="B2" s="487" t="s">
        <v>161</v>
      </c>
      <c r="C2" s="488"/>
      <c r="D2" s="489"/>
      <c r="E2" s="486"/>
      <c r="F2" s="490"/>
      <c r="G2" s="491"/>
      <c r="H2" s="492" t="s">
        <v>104</v>
      </c>
      <c r="I2" s="278"/>
      <c r="J2" s="278"/>
      <c r="K2" s="278"/>
      <c r="L2" s="279"/>
      <c r="M2" s="492" t="s">
        <v>106</v>
      </c>
      <c r="N2" s="278"/>
      <c r="O2" s="278"/>
      <c r="P2" s="493"/>
      <c r="Q2" s="494" t="s">
        <v>108</v>
      </c>
      <c r="R2" s="278"/>
      <c r="S2" s="278"/>
      <c r="T2" s="493"/>
      <c r="U2" s="36"/>
      <c r="V2" s="36" t="s">
        <v>162</v>
      </c>
      <c r="W2" s="36" t="s">
        <v>163</v>
      </c>
      <c r="X2" s="36" t="s">
        <v>164</v>
      </c>
      <c r="Y2" s="36" t="s">
        <v>165</v>
      </c>
      <c r="Z2" s="36" t="s">
        <v>166</v>
      </c>
      <c r="AA2" s="36" t="s">
        <v>167</v>
      </c>
    </row>
    <row r="3" ht="15.75" customHeight="1">
      <c r="A3" s="495" t="s">
        <v>118</v>
      </c>
      <c r="B3" s="495" t="s">
        <v>119</v>
      </c>
      <c r="C3" s="495" t="s">
        <v>121</v>
      </c>
      <c r="D3" s="495" t="s">
        <v>122</v>
      </c>
      <c r="E3" s="495" t="s">
        <v>123</v>
      </c>
      <c r="F3" s="496" t="s">
        <v>124</v>
      </c>
      <c r="G3" s="497" t="s">
        <v>125</v>
      </c>
      <c r="H3" s="498" t="s">
        <v>155</v>
      </c>
      <c r="I3" s="499" t="s">
        <v>147</v>
      </c>
      <c r="J3" s="185" t="s">
        <v>127</v>
      </c>
      <c r="K3" s="185" t="s">
        <v>148</v>
      </c>
      <c r="L3" s="500" t="s">
        <v>157</v>
      </c>
      <c r="M3" s="498" t="s">
        <v>168</v>
      </c>
      <c r="N3" s="185" t="s">
        <v>169</v>
      </c>
      <c r="O3" s="185" t="s">
        <v>148</v>
      </c>
      <c r="P3" s="501" t="s">
        <v>157</v>
      </c>
      <c r="Q3" s="185" t="s">
        <v>170</v>
      </c>
      <c r="R3" s="185" t="s">
        <v>171</v>
      </c>
      <c r="S3" s="185" t="s">
        <v>148</v>
      </c>
      <c r="T3" s="501" t="s">
        <v>157</v>
      </c>
    </row>
    <row r="4" ht="15.75" customHeight="1">
      <c r="A4" s="190" t="s">
        <v>34</v>
      </c>
      <c r="B4" s="191" t="s">
        <v>132</v>
      </c>
      <c r="C4" s="193"/>
      <c r="D4" s="194" t="s">
        <v>132</v>
      </c>
      <c r="E4" s="192">
        <v>0.0</v>
      </c>
      <c r="F4" s="193"/>
      <c r="G4" s="192">
        <f t="shared" ref="G4:G10" si="1">SUM(E4:F4)</f>
        <v>0</v>
      </c>
      <c r="H4" s="502" t="s">
        <v>132</v>
      </c>
      <c r="I4" s="192" t="s">
        <v>132</v>
      </c>
      <c r="J4" s="192"/>
      <c r="K4" s="192" t="s">
        <v>132</v>
      </c>
      <c r="L4" s="503"/>
      <c r="M4" s="502" t="s">
        <v>132</v>
      </c>
      <c r="N4" s="192" t="s">
        <v>132</v>
      </c>
      <c r="O4" s="192" t="s">
        <v>132</v>
      </c>
      <c r="P4" s="504"/>
      <c r="Q4" s="192" t="s">
        <v>132</v>
      </c>
      <c r="R4" s="192" t="s">
        <v>132</v>
      </c>
      <c r="S4" s="192" t="s">
        <v>132</v>
      </c>
      <c r="T4" s="504" t="s">
        <v>132</v>
      </c>
    </row>
    <row r="5" ht="15.75" customHeight="1">
      <c r="A5" s="505" t="s">
        <v>91</v>
      </c>
      <c r="B5" s="506" t="s">
        <v>132</v>
      </c>
      <c r="C5" s="507" t="s">
        <v>132</v>
      </c>
      <c r="D5" s="508" t="s">
        <v>132</v>
      </c>
      <c r="E5" s="508" t="s">
        <v>132</v>
      </c>
      <c r="F5" s="507"/>
      <c r="G5" s="508">
        <f t="shared" si="1"/>
        <v>0</v>
      </c>
      <c r="H5" s="509" t="s">
        <v>132</v>
      </c>
      <c r="I5" s="508" t="s">
        <v>132</v>
      </c>
      <c r="J5" s="508"/>
      <c r="K5" s="508" t="s">
        <v>132</v>
      </c>
      <c r="L5" s="510"/>
      <c r="M5" s="509" t="s">
        <v>132</v>
      </c>
      <c r="N5" s="508" t="s">
        <v>132</v>
      </c>
      <c r="O5" s="508" t="s">
        <v>132</v>
      </c>
      <c r="P5" s="511"/>
      <c r="Q5" s="508" t="s">
        <v>132</v>
      </c>
      <c r="R5" s="508" t="s">
        <v>132</v>
      </c>
      <c r="S5" s="508" t="s">
        <v>132</v>
      </c>
      <c r="T5" s="511" t="s">
        <v>132</v>
      </c>
    </row>
    <row r="6" ht="15.75" customHeight="1">
      <c r="A6" s="215" t="s">
        <v>98</v>
      </c>
      <c r="B6" s="216" t="s">
        <v>132</v>
      </c>
      <c r="C6" s="218" t="s">
        <v>132</v>
      </c>
      <c r="D6" s="217" t="s">
        <v>132</v>
      </c>
      <c r="E6" s="217" t="s">
        <v>132</v>
      </c>
      <c r="F6" s="218">
        <v>0.0</v>
      </c>
      <c r="G6" s="217">
        <f t="shared" si="1"/>
        <v>0</v>
      </c>
      <c r="H6" s="512">
        <v>0.0</v>
      </c>
      <c r="I6" s="513">
        <v>0.614</v>
      </c>
      <c r="J6" s="514"/>
      <c r="K6" s="514">
        <v>0.0</v>
      </c>
      <c r="L6" s="515"/>
      <c r="M6" s="516" t="s">
        <v>134</v>
      </c>
      <c r="N6" s="517" t="s">
        <v>134</v>
      </c>
      <c r="O6" s="517" t="s">
        <v>134</v>
      </c>
      <c r="P6" s="518"/>
      <c r="Q6" s="517" t="s">
        <v>134</v>
      </c>
      <c r="R6" s="517" t="s">
        <v>134</v>
      </c>
      <c r="S6" s="517" t="s">
        <v>134</v>
      </c>
      <c r="T6" s="518" t="s">
        <v>134</v>
      </c>
    </row>
    <row r="7" ht="15.75" customHeight="1">
      <c r="A7" s="505" t="s">
        <v>103</v>
      </c>
      <c r="B7" s="506">
        <v>0.0</v>
      </c>
      <c r="C7" s="507">
        <v>0.0</v>
      </c>
      <c r="D7" s="508">
        <v>0.0</v>
      </c>
      <c r="E7" s="508">
        <v>0.0</v>
      </c>
      <c r="F7" s="507">
        <v>0.0</v>
      </c>
      <c r="G7" s="508">
        <f t="shared" si="1"/>
        <v>0</v>
      </c>
      <c r="H7" s="519">
        <v>0.0</v>
      </c>
      <c r="I7" s="520"/>
      <c r="J7" s="521">
        <v>0.0</v>
      </c>
      <c r="K7" s="227">
        <v>0.0</v>
      </c>
      <c r="L7" s="522"/>
      <c r="M7" s="523"/>
      <c r="N7" s="524"/>
      <c r="O7" s="524"/>
      <c r="P7" s="525"/>
      <c r="Q7" s="524"/>
      <c r="R7" s="524"/>
      <c r="S7" s="524"/>
      <c r="T7" s="525"/>
    </row>
    <row r="8" ht="15.75" customHeight="1">
      <c r="A8" s="190" t="s">
        <v>110</v>
      </c>
      <c r="B8" s="191">
        <v>0.0</v>
      </c>
      <c r="C8" s="193">
        <v>0.0</v>
      </c>
      <c r="D8" s="193">
        <f>CONTROLE!D69</f>
        <v>136</v>
      </c>
      <c r="E8" s="193">
        <f t="shared" ref="E8:E10" si="2">C8+D8</f>
        <v>136</v>
      </c>
      <c r="F8" s="193">
        <f>CONTROLE!G66</f>
        <v>300</v>
      </c>
      <c r="G8" s="193">
        <f t="shared" si="1"/>
        <v>436</v>
      </c>
      <c r="H8" s="526">
        <v>16.94</v>
      </c>
      <c r="I8" s="252"/>
      <c r="J8" s="271">
        <f>'REFERENCIA PML'!C7</f>
        <v>26.95</v>
      </c>
      <c r="K8" s="234">
        <v>0.1079</v>
      </c>
      <c r="L8" s="503">
        <f>'REFERENCIA PML'!E7</f>
        <v>33.85</v>
      </c>
      <c r="M8" s="527">
        <f>10004.75/461</f>
        <v>21.70227766</v>
      </c>
      <c r="N8" s="271">
        <f>'REFERENCIA PML'!C14</f>
        <v>25.84</v>
      </c>
      <c r="O8" s="252">
        <f>3766.5/10004.75</f>
        <v>0.3764711762</v>
      </c>
      <c r="P8" s="528">
        <f>'REFERENCIA PML'!E14</f>
        <v>38.89</v>
      </c>
      <c r="Q8" s="190"/>
      <c r="R8" s="190"/>
      <c r="S8" s="190" t="str">
        <f>'REFERENCIA PML'!H14</f>
        <v/>
      </c>
      <c r="T8" s="529"/>
      <c r="U8" s="36"/>
      <c r="V8" s="36">
        <v>1.0</v>
      </c>
      <c r="Z8" s="36">
        <v>1.0</v>
      </c>
    </row>
    <row r="9" ht="15.75" customHeight="1">
      <c r="A9" s="505" t="s">
        <v>138</v>
      </c>
      <c r="B9" s="506">
        <f>CONTROLE!I85</f>
        <v>1</v>
      </c>
      <c r="C9" s="507">
        <f>CONTROLE!J85</f>
        <v>10</v>
      </c>
      <c r="D9" s="507">
        <f>CONTROLE!D85</f>
        <v>132</v>
      </c>
      <c r="E9" s="507">
        <f t="shared" si="2"/>
        <v>142</v>
      </c>
      <c r="F9" s="507">
        <f>CONTROLE!G85</f>
        <v>300</v>
      </c>
      <c r="G9" s="507">
        <f t="shared" si="1"/>
        <v>442</v>
      </c>
      <c r="H9" s="519">
        <f>1001/41</f>
        <v>24.41463415</v>
      </c>
      <c r="I9" s="520"/>
      <c r="J9" s="521">
        <f>'REFERENCIA PML'!C8</f>
        <v>25.71</v>
      </c>
      <c r="K9" s="227">
        <f>571/1001</f>
        <v>0.5704295704</v>
      </c>
      <c r="L9" s="510">
        <f>'REFERENCIA PML'!E8</f>
        <v>33.57</v>
      </c>
      <c r="M9" s="530">
        <f>13231.87/535</f>
        <v>24.73246729</v>
      </c>
      <c r="N9" s="507">
        <f>'REFERENCIA PML'!C15</f>
        <v>24.18</v>
      </c>
      <c r="O9" s="227">
        <f>6554.87/13231.87</f>
        <v>0.495385006</v>
      </c>
      <c r="P9" s="511">
        <f>'REFERENCIA PML'!E15</f>
        <v>42.48</v>
      </c>
      <c r="Q9" s="507">
        <f>832.5/39</f>
        <v>21.34615385</v>
      </c>
      <c r="R9" s="507">
        <f>'REFERENCIA PML'!C22</f>
        <v>26.36</v>
      </c>
      <c r="S9" s="227">
        <f>483.5/832.5</f>
        <v>0.5807807808</v>
      </c>
      <c r="T9" s="531">
        <f>'REFERENCIA PML'!E22</f>
        <v>47.24</v>
      </c>
    </row>
    <row r="10" ht="15.75" customHeight="1">
      <c r="A10" s="532" t="s">
        <v>139</v>
      </c>
      <c r="B10" s="533">
        <f>CONTROLE!I101</f>
        <v>3</v>
      </c>
      <c r="C10" s="534">
        <f>CONTROLE!E101</f>
        <v>30</v>
      </c>
      <c r="D10" s="534">
        <f>CONTROLE!D101</f>
        <v>129</v>
      </c>
      <c r="E10" s="534">
        <f t="shared" si="2"/>
        <v>159</v>
      </c>
      <c r="F10" s="534">
        <f>CONTROLE!G101</f>
        <v>300</v>
      </c>
      <c r="G10" s="534">
        <f t="shared" si="1"/>
        <v>459</v>
      </c>
      <c r="H10" s="535">
        <f>679/61</f>
        <v>11.13114754</v>
      </c>
      <c r="I10" s="536">
        <f>H10/J10</f>
        <v>0.4808271076</v>
      </c>
      <c r="J10" s="536">
        <f>'REFERENCIA PML'!C9</f>
        <v>23.15</v>
      </c>
      <c r="K10" s="537">
        <f>0/679</f>
        <v>0</v>
      </c>
      <c r="L10" s="538">
        <f>'REFERENCIA PML'!E9</f>
        <v>28.53</v>
      </c>
      <c r="M10" s="535">
        <f>16947.661/739</f>
        <v>22.93323545</v>
      </c>
      <c r="N10" s="536">
        <f>'REFERENCIA PML'!C16</f>
        <v>24.42</v>
      </c>
      <c r="O10" s="537">
        <f>7562.7302/16947.661</f>
        <v>0.4462403514</v>
      </c>
      <c r="P10" s="539">
        <f>'REFERENCIA PML'!E16</f>
        <v>39.99</v>
      </c>
      <c r="Q10" s="536">
        <f>1156.9998/56</f>
        <v>20.66071071</v>
      </c>
      <c r="R10" s="536">
        <f>'REFERENCIA PML'!C23</f>
        <v>21.59</v>
      </c>
      <c r="S10" s="537">
        <f>175/1156.9998</f>
        <v>0.1512532673</v>
      </c>
      <c r="T10" s="539">
        <f>'REFERENCIA PML'!E23</f>
        <v>28.28</v>
      </c>
    </row>
    <row r="11" ht="15.75" customHeight="1">
      <c r="A11" s="190" t="s">
        <v>141</v>
      </c>
      <c r="B11" s="192"/>
      <c r="C11" s="192"/>
      <c r="D11" s="192"/>
      <c r="E11" s="192"/>
      <c r="F11" s="193"/>
      <c r="G11" s="192"/>
      <c r="H11" s="540"/>
      <c r="I11" s="541"/>
      <c r="J11" s="541"/>
      <c r="K11" s="541"/>
      <c r="L11" s="542"/>
      <c r="M11" s="540"/>
      <c r="N11" s="543"/>
      <c r="O11" s="543"/>
      <c r="P11" s="544"/>
      <c r="Q11" s="543"/>
      <c r="R11" s="543"/>
      <c r="S11" s="543"/>
      <c r="T11" s="544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545"/>
      <c r="M12" s="7"/>
      <c r="N12" s="7"/>
      <c r="O12" s="7"/>
      <c r="P12" s="7"/>
      <c r="Q12" s="7"/>
      <c r="R12" s="7"/>
      <c r="S12" s="7"/>
      <c r="T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545"/>
      <c r="M13" s="7"/>
      <c r="N13" s="7"/>
      <c r="O13" s="7"/>
      <c r="P13" s="7"/>
      <c r="Q13" s="7"/>
      <c r="R13" s="7"/>
      <c r="S13" s="7"/>
      <c r="T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545"/>
      <c r="M14" s="7"/>
      <c r="N14" s="7"/>
      <c r="O14" s="7"/>
      <c r="P14" s="7"/>
      <c r="Q14" s="7"/>
      <c r="R14" s="7"/>
      <c r="S14" s="7"/>
      <c r="T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545"/>
      <c r="M15" s="7"/>
      <c r="N15" s="7"/>
      <c r="O15" s="7"/>
      <c r="P15" s="7"/>
      <c r="Q15" s="7"/>
      <c r="R15" s="7"/>
      <c r="S15" s="7"/>
      <c r="T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545"/>
      <c r="M16" s="7"/>
      <c r="N16" s="7"/>
      <c r="O16" s="7"/>
      <c r="P16" s="7"/>
      <c r="Q16" s="7"/>
      <c r="R16" s="7"/>
      <c r="S16" s="7"/>
      <c r="T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545"/>
      <c r="M17" s="7"/>
      <c r="N17" s="7"/>
      <c r="O17" s="7"/>
      <c r="P17" s="7"/>
      <c r="Q17" s="7"/>
      <c r="R17" s="7"/>
      <c r="S17" s="7"/>
      <c r="T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545"/>
      <c r="M18" s="7"/>
      <c r="N18" s="7"/>
      <c r="O18" s="7"/>
      <c r="P18" s="7"/>
      <c r="Q18" s="7"/>
      <c r="R18" s="7"/>
      <c r="S18" s="7"/>
      <c r="T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545"/>
      <c r="M19" s="7"/>
      <c r="N19" s="7"/>
      <c r="O19" s="7"/>
      <c r="P19" s="7"/>
      <c r="Q19" s="7"/>
      <c r="R19" s="7"/>
      <c r="S19" s="7"/>
      <c r="T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545"/>
      <c r="M20" s="7"/>
      <c r="N20" s="7"/>
      <c r="O20" s="7"/>
      <c r="P20" s="7"/>
      <c r="Q20" s="7"/>
      <c r="R20" s="7"/>
      <c r="S20" s="7"/>
      <c r="T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545"/>
      <c r="M21" s="7"/>
      <c r="N21" s="7"/>
      <c r="O21" s="7"/>
      <c r="P21" s="7"/>
      <c r="Q21" s="7"/>
      <c r="R21" s="7"/>
      <c r="S21" s="7"/>
      <c r="T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545"/>
      <c r="M22" s="7"/>
      <c r="N22" s="7"/>
      <c r="O22" s="7"/>
      <c r="P22" s="7"/>
      <c r="Q22" s="7"/>
      <c r="R22" s="7"/>
      <c r="S22" s="7"/>
      <c r="T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545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545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545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545"/>
      <c r="M26" s="7"/>
      <c r="N26" s="7"/>
      <c r="O26" s="7"/>
      <c r="P26" s="7"/>
      <c r="Q26" s="7"/>
      <c r="R26" s="7"/>
      <c r="S26" s="7"/>
      <c r="T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545"/>
      <c r="M27" s="7"/>
      <c r="N27" s="7"/>
      <c r="O27" s="7"/>
      <c r="P27" s="7"/>
      <c r="Q27" s="7"/>
      <c r="R27" s="7"/>
      <c r="S27" s="7"/>
      <c r="T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545"/>
      <c r="M28" s="7"/>
      <c r="N28" s="7"/>
      <c r="O28" s="7"/>
      <c r="P28" s="7"/>
      <c r="Q28" s="7"/>
      <c r="R28" s="7"/>
      <c r="S28" s="7"/>
      <c r="T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545"/>
      <c r="M29" s="7"/>
      <c r="N29" s="7"/>
      <c r="O29" s="7"/>
      <c r="P29" s="7"/>
      <c r="Q29" s="7"/>
      <c r="R29" s="7"/>
      <c r="S29" s="7"/>
      <c r="T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545"/>
      <c r="M30" s="7"/>
      <c r="N30" s="7"/>
      <c r="O30" s="7"/>
      <c r="P30" s="7"/>
      <c r="Q30" s="7"/>
      <c r="R30" s="7"/>
      <c r="S30" s="7"/>
      <c r="T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545"/>
      <c r="M31" s="7"/>
      <c r="N31" s="7"/>
      <c r="O31" s="7"/>
      <c r="P31" s="7"/>
      <c r="Q31" s="7"/>
      <c r="R31" s="7"/>
      <c r="S31" s="7"/>
      <c r="T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545"/>
      <c r="M32" s="7"/>
      <c r="N32" s="7"/>
      <c r="O32" s="7"/>
      <c r="P32" s="7"/>
      <c r="Q32" s="7"/>
      <c r="R32" s="7"/>
      <c r="S32" s="7"/>
      <c r="T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545"/>
      <c r="M33" s="7"/>
      <c r="N33" s="7"/>
      <c r="O33" s="7"/>
      <c r="P33" s="7"/>
      <c r="Q33" s="7"/>
      <c r="R33" s="7"/>
      <c r="S33" s="7"/>
      <c r="T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545"/>
      <c r="M34" s="7"/>
      <c r="N34" s="7"/>
      <c r="O34" s="7"/>
      <c r="P34" s="7"/>
      <c r="Q34" s="7"/>
      <c r="R34" s="7"/>
      <c r="S34" s="7"/>
      <c r="T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545"/>
      <c r="M35" s="7"/>
      <c r="N35" s="7"/>
      <c r="O35" s="7"/>
      <c r="P35" s="7"/>
      <c r="Q35" s="7"/>
      <c r="R35" s="7"/>
      <c r="S35" s="7"/>
      <c r="T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545"/>
      <c r="M36" s="7"/>
      <c r="N36" s="7"/>
      <c r="O36" s="7"/>
      <c r="P36" s="7"/>
      <c r="Q36" s="7"/>
      <c r="R36" s="7"/>
      <c r="S36" s="7"/>
      <c r="T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545"/>
      <c r="M37" s="7"/>
      <c r="N37" s="7"/>
      <c r="O37" s="7"/>
      <c r="P37" s="7"/>
      <c r="Q37" s="7"/>
      <c r="R37" s="7"/>
      <c r="S37" s="7"/>
      <c r="T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545"/>
      <c r="M38" s="7"/>
      <c r="N38" s="7"/>
      <c r="O38" s="7"/>
      <c r="P38" s="7"/>
      <c r="Q38" s="7"/>
      <c r="R38" s="7"/>
      <c r="S38" s="7"/>
      <c r="T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545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545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545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545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545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545"/>
      <c r="M44" s="7"/>
      <c r="N44" s="7"/>
      <c r="O44" s="7"/>
      <c r="P44" s="7"/>
      <c r="Q44" s="7"/>
      <c r="R44" s="7"/>
      <c r="S44" s="7"/>
      <c r="T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545"/>
      <c r="M45" s="7"/>
      <c r="N45" s="7"/>
      <c r="O45" s="7"/>
      <c r="P45" s="7"/>
      <c r="Q45" s="7"/>
      <c r="R45" s="7"/>
      <c r="S45" s="7"/>
      <c r="T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545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545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545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545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545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545"/>
      <c r="M51" s="7"/>
      <c r="N51" s="7"/>
      <c r="O51" s="7"/>
      <c r="P51" s="7"/>
      <c r="Q51" s="7"/>
      <c r="R51" s="7"/>
      <c r="S51" s="7"/>
      <c r="T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545"/>
      <c r="M52" s="7"/>
      <c r="N52" s="7"/>
      <c r="O52" s="7"/>
      <c r="P52" s="7"/>
      <c r="Q52" s="7"/>
      <c r="R52" s="7"/>
      <c r="S52" s="7"/>
      <c r="T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545"/>
      <c r="M53" s="7"/>
      <c r="N53" s="7"/>
      <c r="O53" s="7"/>
      <c r="P53" s="7"/>
      <c r="Q53" s="7"/>
      <c r="R53" s="7"/>
      <c r="S53" s="7"/>
      <c r="T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545"/>
      <c r="M54" s="7"/>
      <c r="N54" s="7"/>
      <c r="O54" s="7"/>
      <c r="P54" s="7"/>
      <c r="Q54" s="7"/>
      <c r="R54" s="7"/>
      <c r="S54" s="7"/>
      <c r="T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545"/>
      <c r="M55" s="7"/>
      <c r="N55" s="7"/>
      <c r="O55" s="7"/>
      <c r="P55" s="7"/>
      <c r="Q55" s="7"/>
      <c r="R55" s="7"/>
      <c r="S55" s="7"/>
      <c r="T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545"/>
      <c r="M56" s="7"/>
      <c r="N56" s="7"/>
      <c r="O56" s="7"/>
      <c r="P56" s="7"/>
      <c r="Q56" s="7"/>
      <c r="R56" s="7"/>
      <c r="S56" s="7"/>
      <c r="T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545"/>
      <c r="M57" s="7"/>
      <c r="N57" s="7"/>
      <c r="O57" s="7"/>
      <c r="P57" s="7"/>
      <c r="Q57" s="7"/>
      <c r="R57" s="7"/>
      <c r="S57" s="7"/>
      <c r="T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545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545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545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545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545"/>
      <c r="M62" s="7"/>
      <c r="N62" s="7"/>
      <c r="O62" s="7"/>
      <c r="P62" s="7"/>
      <c r="Q62" s="7"/>
      <c r="R62" s="7"/>
      <c r="S62" s="7"/>
      <c r="T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545"/>
      <c r="M63" s="7"/>
      <c r="N63" s="7"/>
      <c r="O63" s="7"/>
      <c r="P63" s="7"/>
      <c r="Q63" s="7"/>
      <c r="R63" s="7"/>
      <c r="S63" s="7"/>
      <c r="T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545"/>
      <c r="M64" s="7"/>
      <c r="N64" s="7"/>
      <c r="O64" s="7"/>
      <c r="P64" s="7"/>
      <c r="Q64" s="7"/>
      <c r="R64" s="7"/>
      <c r="S64" s="7"/>
      <c r="T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545"/>
      <c r="M65" s="7"/>
      <c r="N65" s="7"/>
      <c r="O65" s="7"/>
      <c r="P65" s="7"/>
      <c r="Q65" s="7"/>
      <c r="R65" s="7"/>
      <c r="S65" s="7"/>
      <c r="T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545"/>
      <c r="M66" s="7"/>
      <c r="N66" s="7"/>
      <c r="O66" s="7"/>
      <c r="P66" s="7"/>
      <c r="Q66" s="7"/>
      <c r="R66" s="7"/>
      <c r="S66" s="7"/>
      <c r="T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545"/>
      <c r="M67" s="7"/>
      <c r="N67" s="7"/>
      <c r="O67" s="7"/>
      <c r="P67" s="7"/>
      <c r="Q67" s="7"/>
      <c r="R67" s="7"/>
      <c r="S67" s="7"/>
      <c r="T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545"/>
      <c r="M68" s="7"/>
      <c r="N68" s="7"/>
      <c r="O68" s="7"/>
      <c r="P68" s="7"/>
      <c r="Q68" s="7"/>
      <c r="R68" s="7"/>
      <c r="S68" s="7"/>
      <c r="T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545"/>
      <c r="M69" s="7"/>
      <c r="N69" s="7"/>
      <c r="O69" s="7"/>
      <c r="P69" s="7"/>
      <c r="Q69" s="7"/>
      <c r="R69" s="7"/>
      <c r="S69" s="7"/>
      <c r="T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545"/>
      <c r="M70" s="7"/>
      <c r="N70" s="7"/>
      <c r="O70" s="7"/>
      <c r="P70" s="7"/>
      <c r="Q70" s="7"/>
      <c r="R70" s="7"/>
      <c r="S70" s="7"/>
      <c r="T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545"/>
      <c r="M71" s="7"/>
      <c r="N71" s="7"/>
      <c r="O71" s="7"/>
      <c r="P71" s="7"/>
      <c r="Q71" s="7"/>
      <c r="R71" s="7"/>
      <c r="S71" s="7"/>
      <c r="T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545"/>
      <c r="M72" s="7"/>
      <c r="N72" s="7"/>
      <c r="O72" s="7"/>
      <c r="P72" s="7"/>
      <c r="Q72" s="7"/>
      <c r="R72" s="7"/>
      <c r="S72" s="7"/>
      <c r="T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545"/>
      <c r="M73" s="7"/>
      <c r="N73" s="7"/>
      <c r="O73" s="7"/>
      <c r="P73" s="7"/>
      <c r="Q73" s="7"/>
      <c r="R73" s="7"/>
      <c r="S73" s="7"/>
      <c r="T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545"/>
      <c r="M74" s="7"/>
      <c r="N74" s="7"/>
      <c r="O74" s="7"/>
      <c r="P74" s="7"/>
      <c r="Q74" s="7"/>
      <c r="R74" s="7"/>
      <c r="S74" s="7"/>
      <c r="T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545"/>
      <c r="M75" s="7"/>
      <c r="N75" s="7"/>
      <c r="O75" s="7"/>
      <c r="P75" s="7"/>
      <c r="Q75" s="7"/>
      <c r="R75" s="7"/>
      <c r="S75" s="7"/>
      <c r="T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545"/>
      <c r="M76" s="7"/>
      <c r="N76" s="7"/>
      <c r="O76" s="7"/>
      <c r="P76" s="7"/>
      <c r="Q76" s="7"/>
      <c r="R76" s="7"/>
      <c r="S76" s="7"/>
      <c r="T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545"/>
      <c r="M77" s="7"/>
      <c r="N77" s="7"/>
      <c r="O77" s="7"/>
      <c r="P77" s="7"/>
      <c r="Q77" s="7"/>
      <c r="R77" s="7"/>
      <c r="S77" s="7"/>
      <c r="T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545"/>
      <c r="M78" s="7"/>
      <c r="N78" s="7"/>
      <c r="O78" s="7"/>
      <c r="P78" s="7"/>
      <c r="Q78" s="7"/>
      <c r="R78" s="7"/>
      <c r="S78" s="7"/>
      <c r="T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545"/>
      <c r="M79" s="7"/>
      <c r="N79" s="7"/>
      <c r="O79" s="7"/>
      <c r="P79" s="7"/>
      <c r="Q79" s="7"/>
      <c r="R79" s="7"/>
      <c r="S79" s="7"/>
      <c r="T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545"/>
      <c r="M80" s="7"/>
      <c r="N80" s="7"/>
      <c r="O80" s="7"/>
      <c r="P80" s="7"/>
      <c r="Q80" s="7"/>
      <c r="R80" s="7"/>
      <c r="S80" s="7"/>
      <c r="T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545"/>
      <c r="M81" s="7"/>
      <c r="N81" s="7"/>
      <c r="O81" s="7"/>
      <c r="P81" s="7"/>
      <c r="Q81" s="7"/>
      <c r="R81" s="7"/>
      <c r="S81" s="7"/>
      <c r="T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545"/>
      <c r="M82" s="7"/>
      <c r="N82" s="7"/>
      <c r="O82" s="7"/>
      <c r="P82" s="7"/>
      <c r="Q82" s="7"/>
      <c r="R82" s="7"/>
      <c r="S82" s="7"/>
      <c r="T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545"/>
      <c r="M83" s="7"/>
      <c r="N83" s="7"/>
      <c r="O83" s="7"/>
      <c r="P83" s="7"/>
      <c r="Q83" s="7"/>
      <c r="R83" s="7"/>
      <c r="S83" s="7"/>
      <c r="T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545"/>
      <c r="M84" s="7"/>
      <c r="N84" s="7"/>
      <c r="O84" s="7"/>
      <c r="P84" s="7"/>
      <c r="Q84" s="7"/>
      <c r="R84" s="7"/>
      <c r="S84" s="7"/>
      <c r="T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545"/>
      <c r="M85" s="7"/>
      <c r="N85" s="7"/>
      <c r="O85" s="7"/>
      <c r="P85" s="7"/>
      <c r="Q85" s="7"/>
      <c r="R85" s="7"/>
      <c r="S85" s="7"/>
      <c r="T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545"/>
      <c r="M86" s="7"/>
      <c r="N86" s="7"/>
      <c r="O86" s="7"/>
      <c r="P86" s="7"/>
      <c r="Q86" s="7"/>
      <c r="R86" s="7"/>
      <c r="S86" s="7"/>
      <c r="T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545"/>
      <c r="M87" s="7"/>
      <c r="N87" s="7"/>
      <c r="O87" s="7"/>
      <c r="P87" s="7"/>
      <c r="Q87" s="7"/>
      <c r="R87" s="7"/>
      <c r="S87" s="7"/>
      <c r="T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545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545"/>
      <c r="M89" s="7"/>
      <c r="N89" s="7"/>
      <c r="O89" s="7"/>
      <c r="P89" s="7"/>
      <c r="Q89" s="7"/>
      <c r="R89" s="7"/>
      <c r="S89" s="7"/>
      <c r="T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545"/>
      <c r="M90" s="7"/>
      <c r="N90" s="7"/>
      <c r="O90" s="7"/>
      <c r="P90" s="7"/>
      <c r="Q90" s="7"/>
      <c r="R90" s="7"/>
      <c r="S90" s="7"/>
      <c r="T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545"/>
      <c r="M91" s="7"/>
      <c r="N91" s="7"/>
      <c r="O91" s="7"/>
      <c r="P91" s="7"/>
      <c r="Q91" s="7"/>
      <c r="R91" s="7"/>
      <c r="S91" s="7"/>
      <c r="T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545"/>
      <c r="M92" s="7"/>
      <c r="N92" s="7"/>
      <c r="O92" s="7"/>
      <c r="P92" s="7"/>
      <c r="Q92" s="7"/>
      <c r="R92" s="7"/>
      <c r="S92" s="7"/>
      <c r="T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545"/>
      <c r="M93" s="7"/>
      <c r="N93" s="7"/>
      <c r="O93" s="7"/>
      <c r="P93" s="7"/>
      <c r="Q93" s="7"/>
      <c r="R93" s="7"/>
      <c r="S93" s="7"/>
      <c r="T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545"/>
      <c r="M94" s="7"/>
      <c r="N94" s="7"/>
      <c r="O94" s="7"/>
      <c r="P94" s="7"/>
      <c r="Q94" s="7"/>
      <c r="R94" s="7"/>
      <c r="S94" s="7"/>
      <c r="T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545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545"/>
      <c r="M96" s="7"/>
      <c r="N96" s="7"/>
      <c r="O96" s="7"/>
      <c r="P96" s="7"/>
      <c r="Q96" s="7"/>
      <c r="R96" s="7"/>
      <c r="S96" s="7"/>
      <c r="T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545"/>
      <c r="M97" s="7"/>
      <c r="N97" s="7"/>
      <c r="O97" s="7"/>
      <c r="P97" s="7"/>
      <c r="Q97" s="7"/>
      <c r="R97" s="7"/>
      <c r="S97" s="7"/>
      <c r="T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545"/>
      <c r="M98" s="7"/>
      <c r="N98" s="7"/>
      <c r="O98" s="7"/>
      <c r="P98" s="7"/>
      <c r="Q98" s="7"/>
      <c r="R98" s="7"/>
      <c r="S98" s="7"/>
      <c r="T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545"/>
      <c r="M99" s="7"/>
      <c r="N99" s="7"/>
      <c r="O99" s="7"/>
      <c r="P99" s="7"/>
      <c r="Q99" s="7"/>
      <c r="R99" s="7"/>
      <c r="S99" s="7"/>
      <c r="T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545"/>
      <c r="M100" s="7"/>
      <c r="N100" s="7"/>
      <c r="O100" s="7"/>
      <c r="P100" s="7"/>
      <c r="Q100" s="7"/>
      <c r="R100" s="7"/>
      <c r="S100" s="7"/>
      <c r="T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545"/>
      <c r="M101" s="7"/>
      <c r="N101" s="7"/>
      <c r="O101" s="7"/>
      <c r="P101" s="7"/>
      <c r="Q101" s="7"/>
      <c r="R101" s="7"/>
      <c r="S101" s="7"/>
      <c r="T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545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545"/>
      <c r="M103" s="7"/>
      <c r="N103" s="7"/>
      <c r="O103" s="7"/>
      <c r="P103" s="7"/>
      <c r="Q103" s="7"/>
      <c r="R103" s="7"/>
      <c r="S103" s="7"/>
      <c r="T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545"/>
      <c r="M104" s="7"/>
      <c r="N104" s="7"/>
      <c r="O104" s="7"/>
      <c r="P104" s="7"/>
      <c r="Q104" s="7"/>
      <c r="R104" s="7"/>
      <c r="S104" s="7"/>
      <c r="T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545"/>
      <c r="M105" s="7"/>
      <c r="N105" s="7"/>
      <c r="O105" s="7"/>
      <c r="P105" s="7"/>
      <c r="Q105" s="7"/>
      <c r="R105" s="7"/>
      <c r="S105" s="7"/>
      <c r="T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545"/>
      <c r="M106" s="7"/>
      <c r="N106" s="7"/>
      <c r="O106" s="7"/>
      <c r="P106" s="7"/>
      <c r="Q106" s="7"/>
      <c r="R106" s="7"/>
      <c r="S106" s="7"/>
      <c r="T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545"/>
      <c r="M107" s="7"/>
      <c r="N107" s="7"/>
      <c r="O107" s="7"/>
      <c r="P107" s="7"/>
      <c r="Q107" s="7"/>
      <c r="R107" s="7"/>
      <c r="S107" s="7"/>
      <c r="T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545"/>
      <c r="M108" s="7"/>
      <c r="N108" s="7"/>
      <c r="O108" s="7"/>
      <c r="P108" s="7"/>
      <c r="Q108" s="7"/>
      <c r="R108" s="7"/>
      <c r="S108" s="7"/>
      <c r="T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545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545"/>
      <c r="M110" s="7"/>
      <c r="N110" s="7"/>
      <c r="O110" s="7"/>
      <c r="P110" s="7"/>
      <c r="Q110" s="7"/>
      <c r="R110" s="7"/>
      <c r="S110" s="7"/>
      <c r="T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545"/>
      <c r="M111" s="7"/>
      <c r="N111" s="7"/>
      <c r="O111" s="7"/>
      <c r="P111" s="7"/>
      <c r="Q111" s="7"/>
      <c r="R111" s="7"/>
      <c r="S111" s="7"/>
      <c r="T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545"/>
      <c r="M112" s="7"/>
      <c r="N112" s="7"/>
      <c r="O112" s="7"/>
      <c r="P112" s="7"/>
      <c r="Q112" s="7"/>
      <c r="R112" s="7"/>
      <c r="S112" s="7"/>
      <c r="T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545"/>
      <c r="M113" s="7"/>
      <c r="N113" s="7"/>
      <c r="O113" s="7"/>
      <c r="P113" s="7"/>
      <c r="Q113" s="7"/>
      <c r="R113" s="7"/>
      <c r="S113" s="7"/>
      <c r="T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545"/>
      <c r="M114" s="7"/>
      <c r="N114" s="7"/>
      <c r="O114" s="7"/>
      <c r="P114" s="7"/>
      <c r="Q114" s="7"/>
      <c r="R114" s="7"/>
      <c r="S114" s="7"/>
      <c r="T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545"/>
      <c r="M115" s="7"/>
      <c r="N115" s="7"/>
      <c r="O115" s="7"/>
      <c r="P115" s="7"/>
      <c r="Q115" s="7"/>
      <c r="R115" s="7"/>
      <c r="S115" s="7"/>
      <c r="T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545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545"/>
      <c r="M117" s="7"/>
      <c r="N117" s="7"/>
      <c r="O117" s="7"/>
      <c r="P117" s="7"/>
      <c r="Q117" s="7"/>
      <c r="R117" s="7"/>
      <c r="S117" s="7"/>
      <c r="T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545"/>
      <c r="M118" s="7"/>
      <c r="N118" s="7"/>
      <c r="O118" s="7"/>
      <c r="P118" s="7"/>
      <c r="Q118" s="7"/>
      <c r="R118" s="7"/>
      <c r="S118" s="7"/>
      <c r="T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545"/>
      <c r="M119" s="7"/>
      <c r="N119" s="7"/>
      <c r="O119" s="7"/>
      <c r="P119" s="7"/>
      <c r="Q119" s="7"/>
      <c r="R119" s="7"/>
      <c r="S119" s="7"/>
      <c r="T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545"/>
      <c r="M120" s="7"/>
      <c r="N120" s="7"/>
      <c r="O120" s="7"/>
      <c r="P120" s="7"/>
      <c r="Q120" s="7"/>
      <c r="R120" s="7"/>
      <c r="S120" s="7"/>
      <c r="T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545"/>
      <c r="M121" s="7"/>
      <c r="N121" s="7"/>
      <c r="O121" s="7"/>
      <c r="P121" s="7"/>
      <c r="Q121" s="7"/>
      <c r="R121" s="7"/>
      <c r="S121" s="7"/>
      <c r="T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545"/>
      <c r="M122" s="7"/>
      <c r="N122" s="7"/>
      <c r="O122" s="7"/>
      <c r="P122" s="7"/>
      <c r="Q122" s="7"/>
      <c r="R122" s="7"/>
      <c r="S122" s="7"/>
      <c r="T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545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545"/>
      <c r="M124" s="7"/>
      <c r="N124" s="7"/>
      <c r="O124" s="7"/>
      <c r="P124" s="7"/>
      <c r="Q124" s="7"/>
      <c r="R124" s="7"/>
      <c r="S124" s="7"/>
      <c r="T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545"/>
      <c r="M125" s="7"/>
      <c r="N125" s="7"/>
      <c r="O125" s="7"/>
      <c r="P125" s="7"/>
      <c r="Q125" s="7"/>
      <c r="R125" s="7"/>
      <c r="S125" s="7"/>
      <c r="T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545"/>
      <c r="M126" s="7"/>
      <c r="N126" s="7"/>
      <c r="O126" s="7"/>
      <c r="P126" s="7"/>
      <c r="Q126" s="7"/>
      <c r="R126" s="7"/>
      <c r="S126" s="7"/>
      <c r="T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545"/>
      <c r="M127" s="7"/>
      <c r="N127" s="7"/>
      <c r="O127" s="7"/>
      <c r="P127" s="7"/>
      <c r="Q127" s="7"/>
      <c r="R127" s="7"/>
      <c r="S127" s="7"/>
      <c r="T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545"/>
      <c r="M128" s="7"/>
      <c r="N128" s="7"/>
      <c r="O128" s="7"/>
      <c r="P128" s="7"/>
      <c r="Q128" s="7"/>
      <c r="R128" s="7"/>
      <c r="S128" s="7"/>
      <c r="T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545"/>
      <c r="M129" s="7"/>
      <c r="N129" s="7"/>
      <c r="O129" s="7"/>
      <c r="P129" s="7"/>
      <c r="Q129" s="7"/>
      <c r="R129" s="7"/>
      <c r="S129" s="7"/>
      <c r="T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545"/>
      <c r="M130" s="7"/>
      <c r="N130" s="7"/>
      <c r="O130" s="7"/>
      <c r="P130" s="7"/>
      <c r="Q130" s="7"/>
      <c r="R130" s="7"/>
      <c r="S130" s="7"/>
      <c r="T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545"/>
      <c r="M131" s="7"/>
      <c r="N131" s="7"/>
      <c r="O131" s="7"/>
      <c r="P131" s="7"/>
      <c r="Q131" s="7"/>
      <c r="R131" s="7"/>
      <c r="S131" s="7"/>
      <c r="T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545"/>
      <c r="M132" s="7"/>
      <c r="N132" s="7"/>
      <c r="O132" s="7"/>
      <c r="P132" s="7"/>
      <c r="Q132" s="7"/>
      <c r="R132" s="7"/>
      <c r="S132" s="7"/>
      <c r="T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545"/>
      <c r="M133" s="7"/>
      <c r="N133" s="7"/>
      <c r="O133" s="7"/>
      <c r="P133" s="7"/>
      <c r="Q133" s="7"/>
      <c r="R133" s="7"/>
      <c r="S133" s="7"/>
      <c r="T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545"/>
      <c r="M134" s="7"/>
      <c r="N134" s="7"/>
      <c r="O134" s="7"/>
      <c r="P134" s="7"/>
      <c r="Q134" s="7"/>
      <c r="R134" s="7"/>
      <c r="S134" s="7"/>
      <c r="T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545"/>
      <c r="M135" s="7"/>
      <c r="N135" s="7"/>
      <c r="O135" s="7"/>
      <c r="P135" s="7"/>
      <c r="Q135" s="7"/>
      <c r="R135" s="7"/>
      <c r="S135" s="7"/>
      <c r="T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545"/>
      <c r="M136" s="7"/>
      <c r="N136" s="7"/>
      <c r="O136" s="7"/>
      <c r="P136" s="7"/>
      <c r="Q136" s="7"/>
      <c r="R136" s="7"/>
      <c r="S136" s="7"/>
      <c r="T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545"/>
      <c r="M137" s="7"/>
      <c r="N137" s="7"/>
      <c r="O137" s="7"/>
      <c r="P137" s="7"/>
      <c r="Q137" s="7"/>
      <c r="R137" s="7"/>
      <c r="S137" s="7"/>
      <c r="T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545"/>
      <c r="M138" s="7"/>
      <c r="N138" s="7"/>
      <c r="O138" s="7"/>
      <c r="P138" s="7"/>
      <c r="Q138" s="7"/>
      <c r="R138" s="7"/>
      <c r="S138" s="7"/>
      <c r="T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545"/>
      <c r="M139" s="7"/>
      <c r="N139" s="7"/>
      <c r="O139" s="7"/>
      <c r="P139" s="7"/>
      <c r="Q139" s="7"/>
      <c r="R139" s="7"/>
      <c r="S139" s="7"/>
      <c r="T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545"/>
      <c r="M140" s="7"/>
      <c r="N140" s="7"/>
      <c r="O140" s="7"/>
      <c r="P140" s="7"/>
      <c r="Q140" s="7"/>
      <c r="R140" s="7"/>
      <c r="S140" s="7"/>
      <c r="T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545"/>
      <c r="M141" s="7"/>
      <c r="N141" s="7"/>
      <c r="O141" s="7"/>
      <c r="P141" s="7"/>
      <c r="Q141" s="7"/>
      <c r="R141" s="7"/>
      <c r="S141" s="7"/>
      <c r="T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545"/>
      <c r="M142" s="7"/>
      <c r="N142" s="7"/>
      <c r="O142" s="7"/>
      <c r="P142" s="7"/>
      <c r="Q142" s="7"/>
      <c r="R142" s="7"/>
      <c r="S142" s="7"/>
      <c r="T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545"/>
      <c r="M143" s="7"/>
      <c r="N143" s="7"/>
      <c r="O143" s="7"/>
      <c r="P143" s="7"/>
      <c r="Q143" s="7"/>
      <c r="R143" s="7"/>
      <c r="S143" s="7"/>
      <c r="T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545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545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545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545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545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545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545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545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545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545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545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545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545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545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545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545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545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545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545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545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545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545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545"/>
      <c r="M166" s="7"/>
      <c r="N166" s="7"/>
      <c r="O166" s="7"/>
      <c r="P166" s="7"/>
      <c r="Q166" s="7"/>
      <c r="R166" s="7"/>
      <c r="S166" s="7"/>
      <c r="T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545"/>
      <c r="M167" s="7"/>
      <c r="N167" s="7"/>
      <c r="O167" s="7"/>
      <c r="P167" s="7"/>
      <c r="Q167" s="7"/>
      <c r="R167" s="7"/>
      <c r="S167" s="7"/>
      <c r="T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545"/>
      <c r="M168" s="7"/>
      <c r="N168" s="7"/>
      <c r="O168" s="7"/>
      <c r="P168" s="7"/>
      <c r="Q168" s="7"/>
      <c r="R168" s="7"/>
      <c r="S168" s="7"/>
      <c r="T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545"/>
      <c r="M169" s="7"/>
      <c r="N169" s="7"/>
      <c r="O169" s="7"/>
      <c r="P169" s="7"/>
      <c r="Q169" s="7"/>
      <c r="R169" s="7"/>
      <c r="S169" s="7"/>
      <c r="T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545"/>
      <c r="M170" s="7"/>
      <c r="N170" s="7"/>
      <c r="O170" s="7"/>
      <c r="P170" s="7"/>
      <c r="Q170" s="7"/>
      <c r="R170" s="7"/>
      <c r="S170" s="7"/>
      <c r="T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545"/>
      <c r="M171" s="7"/>
      <c r="N171" s="7"/>
      <c r="O171" s="7"/>
      <c r="P171" s="7"/>
      <c r="Q171" s="7"/>
      <c r="R171" s="7"/>
      <c r="S171" s="7"/>
      <c r="T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545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545"/>
      <c r="M173" s="7"/>
      <c r="N173" s="7"/>
      <c r="O173" s="7"/>
      <c r="P173" s="7"/>
      <c r="Q173" s="7"/>
      <c r="R173" s="7"/>
      <c r="S173" s="7"/>
      <c r="T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545"/>
      <c r="M174" s="7"/>
      <c r="N174" s="7"/>
      <c r="O174" s="7"/>
      <c r="P174" s="7"/>
      <c r="Q174" s="7"/>
      <c r="R174" s="7"/>
      <c r="S174" s="7"/>
      <c r="T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545"/>
      <c r="M175" s="7"/>
      <c r="N175" s="7"/>
      <c r="O175" s="7"/>
      <c r="P175" s="7"/>
      <c r="Q175" s="7"/>
      <c r="R175" s="7"/>
      <c r="S175" s="7"/>
      <c r="T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545"/>
      <c r="M176" s="7"/>
      <c r="N176" s="7"/>
      <c r="O176" s="7"/>
      <c r="P176" s="7"/>
      <c r="Q176" s="7"/>
      <c r="R176" s="7"/>
      <c r="S176" s="7"/>
      <c r="T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545"/>
      <c r="M177" s="7"/>
      <c r="N177" s="7"/>
      <c r="O177" s="7"/>
      <c r="P177" s="7"/>
      <c r="Q177" s="7"/>
      <c r="R177" s="7"/>
      <c r="S177" s="7"/>
      <c r="T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545"/>
      <c r="M178" s="7"/>
      <c r="N178" s="7"/>
      <c r="O178" s="7"/>
      <c r="P178" s="7"/>
      <c r="Q178" s="7"/>
      <c r="R178" s="7"/>
      <c r="S178" s="7"/>
      <c r="T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545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545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545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545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545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545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545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545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545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545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545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545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545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545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545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545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545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545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545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545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545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545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545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545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545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545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545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545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545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545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545"/>
      <c r="M209" s="7"/>
      <c r="N209" s="7"/>
      <c r="O209" s="7"/>
      <c r="P209" s="7"/>
      <c r="Q209" s="7"/>
      <c r="R209" s="7"/>
      <c r="S209" s="7"/>
      <c r="T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545"/>
      <c r="M210" s="7"/>
      <c r="N210" s="7"/>
      <c r="O210" s="7"/>
      <c r="P210" s="7"/>
      <c r="Q210" s="7"/>
      <c r="R210" s="7"/>
      <c r="S210" s="7"/>
      <c r="T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545"/>
      <c r="M211" s="7"/>
      <c r="N211" s="7"/>
      <c r="O211" s="7"/>
      <c r="P211" s="7"/>
      <c r="Q211" s="7"/>
      <c r="R211" s="7"/>
      <c r="S211" s="7"/>
      <c r="T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545"/>
      <c r="M212" s="7"/>
      <c r="N212" s="7"/>
      <c r="O212" s="7"/>
      <c r="P212" s="7"/>
      <c r="Q212" s="7"/>
      <c r="R212" s="7"/>
      <c r="S212" s="7"/>
      <c r="T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545"/>
      <c r="M213" s="7"/>
      <c r="N213" s="7"/>
      <c r="O213" s="7"/>
      <c r="P213" s="7"/>
      <c r="Q213" s="7"/>
      <c r="R213" s="7"/>
      <c r="S213" s="7"/>
      <c r="T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545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545"/>
      <c r="M215" s="7"/>
      <c r="N215" s="7"/>
      <c r="O215" s="7"/>
      <c r="P215" s="7"/>
      <c r="Q215" s="7"/>
      <c r="R215" s="7"/>
      <c r="S215" s="7"/>
      <c r="T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545"/>
      <c r="M216" s="7"/>
      <c r="N216" s="7"/>
      <c r="O216" s="7"/>
      <c r="P216" s="7"/>
      <c r="Q216" s="7"/>
      <c r="R216" s="7"/>
      <c r="S216" s="7"/>
      <c r="T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545"/>
      <c r="M217" s="7"/>
      <c r="N217" s="7"/>
      <c r="O217" s="7"/>
      <c r="P217" s="7"/>
      <c r="Q217" s="7"/>
      <c r="R217" s="7"/>
      <c r="S217" s="7"/>
      <c r="T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545"/>
      <c r="M218" s="7"/>
      <c r="N218" s="7"/>
      <c r="O218" s="7"/>
      <c r="P218" s="7"/>
      <c r="Q218" s="7"/>
      <c r="R218" s="7"/>
      <c r="S218" s="7"/>
      <c r="T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545"/>
      <c r="M219" s="7"/>
      <c r="N219" s="7"/>
      <c r="O219" s="7"/>
      <c r="P219" s="7"/>
      <c r="Q219" s="7"/>
      <c r="R219" s="7"/>
      <c r="S219" s="7"/>
      <c r="T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545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5">
    <mergeCell ref="A1:G1"/>
    <mergeCell ref="B2:D2"/>
    <mergeCell ref="H2:L2"/>
    <mergeCell ref="M2:P2"/>
    <mergeCell ref="Q2:T2"/>
  </mergeCells>
  <printOptions/>
  <pageMargins bottom="1.0" footer="0.0" header="0.0" left="0.75" right="0.75" top="1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0"/>
    <col customWidth="1" min="2" max="2" width="12.38"/>
    <col customWidth="1" hidden="1" min="3" max="3" width="12.63"/>
    <col customWidth="1" min="4" max="4" width="11.25"/>
    <col customWidth="1" min="5" max="5" width="10.88"/>
    <col customWidth="1" min="6" max="6" width="8.88"/>
    <col customWidth="1" min="7" max="7" width="9.88"/>
    <col customWidth="1" min="8" max="8" width="9.75"/>
    <col customWidth="1" hidden="1" min="9" max="9" width="7.38" outlineLevel="1"/>
    <col customWidth="1" hidden="1" min="10" max="10" width="9.0" outlineLevel="1"/>
    <col customWidth="1" hidden="1" min="11" max="11" width="9.25" outlineLevel="1"/>
    <col customWidth="1" hidden="1" min="12" max="12" width="7.75" outlineLevel="1"/>
    <col customWidth="1" hidden="1" min="13" max="13" width="9.63" outlineLevel="1"/>
    <col customWidth="1" hidden="1" min="14" max="14" width="9.0" outlineLevel="1"/>
    <col customWidth="1" min="15" max="16" width="9.25"/>
    <col customWidth="1" min="18" max="19" width="9.63"/>
    <col customWidth="1" min="20" max="20" width="8.25"/>
    <col customWidth="1" min="21" max="21" width="3.5"/>
    <col customWidth="1" min="22" max="22" width="12.0"/>
    <col customWidth="1" min="23" max="23" width="14.5"/>
  </cols>
  <sheetData>
    <row r="1" ht="26.25" customHeight="1">
      <c r="A1" s="165"/>
      <c r="B1" s="165"/>
      <c r="C1" s="165"/>
      <c r="D1" s="165"/>
      <c r="E1" s="165"/>
      <c r="F1" s="165"/>
      <c r="G1" s="165"/>
      <c r="H1" s="165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 ht="26.25" customHeight="1">
      <c r="A2" s="546" t="s">
        <v>39</v>
      </c>
      <c r="B2" s="171"/>
      <c r="C2" s="171"/>
      <c r="D2" s="171"/>
      <c r="E2" s="171"/>
      <c r="F2" s="171"/>
      <c r="G2" s="171"/>
      <c r="H2" s="172"/>
      <c r="I2" s="547" t="s">
        <v>104</v>
      </c>
      <c r="J2" s="171"/>
      <c r="K2" s="172"/>
      <c r="L2" s="547" t="s">
        <v>106</v>
      </c>
      <c r="M2" s="171"/>
      <c r="N2" s="172"/>
      <c r="O2" s="548" t="s">
        <v>108</v>
      </c>
      <c r="P2" s="275"/>
      <c r="Q2" s="275"/>
      <c r="R2" s="276"/>
      <c r="S2" s="166" t="s">
        <v>162</v>
      </c>
      <c r="T2" s="166" t="s">
        <v>163</v>
      </c>
      <c r="U2" s="166" t="s">
        <v>172</v>
      </c>
      <c r="V2" s="166" t="s">
        <v>173</v>
      </c>
      <c r="W2" s="166"/>
      <c r="X2" s="166"/>
      <c r="Y2" s="166"/>
      <c r="Z2" s="166"/>
      <c r="AA2" s="166"/>
    </row>
    <row r="3" ht="59.25" customHeight="1">
      <c r="A3" s="181" t="s">
        <v>118</v>
      </c>
      <c r="B3" s="181" t="s">
        <v>119</v>
      </c>
      <c r="C3" s="181" t="s">
        <v>120</v>
      </c>
      <c r="D3" s="181" t="s">
        <v>121</v>
      </c>
      <c r="E3" s="181" t="s">
        <v>174</v>
      </c>
      <c r="F3" s="181" t="s">
        <v>123</v>
      </c>
      <c r="G3" s="182" t="s">
        <v>124</v>
      </c>
      <c r="H3" s="549" t="s">
        <v>125</v>
      </c>
      <c r="I3" s="550" t="s">
        <v>126</v>
      </c>
      <c r="J3" s="291" t="s">
        <v>127</v>
      </c>
      <c r="K3" s="393" t="s">
        <v>130</v>
      </c>
      <c r="L3" s="291" t="s">
        <v>126</v>
      </c>
      <c r="M3" s="291" t="s">
        <v>127</v>
      </c>
      <c r="N3" s="394" t="s">
        <v>130</v>
      </c>
      <c r="O3" s="551" t="s">
        <v>126</v>
      </c>
      <c r="P3" s="552" t="s">
        <v>127</v>
      </c>
      <c r="Q3" s="553" t="s">
        <v>175</v>
      </c>
      <c r="R3" s="554" t="s">
        <v>154</v>
      </c>
      <c r="S3" s="166"/>
      <c r="T3" s="166"/>
      <c r="U3" s="166"/>
      <c r="V3" s="166"/>
      <c r="W3" s="166"/>
      <c r="X3" s="166"/>
      <c r="Y3" s="166"/>
      <c r="Z3" s="166"/>
      <c r="AA3" s="166"/>
    </row>
    <row r="4" ht="15.75" customHeight="1">
      <c r="A4" s="294" t="s">
        <v>34</v>
      </c>
      <c r="B4" s="293">
        <f>CONTROLE!I11</f>
        <v>2</v>
      </c>
      <c r="C4" s="555">
        <v>0.0</v>
      </c>
      <c r="D4" s="556">
        <f>CONTROLE!E11</f>
        <v>20</v>
      </c>
      <c r="E4" s="557">
        <f>CONTROLE!D11</f>
        <v>78</v>
      </c>
      <c r="F4" s="556">
        <f t="shared" ref="F4:F10" si="1">D4+E4</f>
        <v>98</v>
      </c>
      <c r="G4" s="556"/>
      <c r="H4" s="556">
        <f t="shared" ref="H4:H10" si="2">SUM(F4:G4)</f>
        <v>98</v>
      </c>
      <c r="I4" s="303" t="s">
        <v>134</v>
      </c>
      <c r="J4" s="303" t="s">
        <v>134</v>
      </c>
      <c r="K4" s="303" t="s">
        <v>134</v>
      </c>
      <c r="L4" s="303" t="s">
        <v>134</v>
      </c>
      <c r="M4" s="303" t="s">
        <v>134</v>
      </c>
      <c r="N4" s="405" t="s">
        <v>134</v>
      </c>
      <c r="O4" s="558" t="s">
        <v>176</v>
      </c>
      <c r="P4" s="559" t="str">
        <f>'REFERENCIA PML'!C17</f>
        <v>R$ 25,59</v>
      </c>
      <c r="Q4" s="560">
        <v>0.3271</v>
      </c>
      <c r="R4" s="561">
        <f>'REFERENCIA PML'!E17</f>
        <v>26.54</v>
      </c>
      <c r="S4" s="166"/>
      <c r="T4" s="166"/>
      <c r="U4" s="166"/>
      <c r="V4" s="166"/>
      <c r="W4" s="166"/>
      <c r="X4" s="166"/>
      <c r="Y4" s="166"/>
      <c r="Z4" s="166"/>
      <c r="AA4" s="166"/>
    </row>
    <row r="5" ht="15.75" customHeight="1">
      <c r="A5" s="346" t="s">
        <v>91</v>
      </c>
      <c r="B5" s="562">
        <f>CONTROLE!I24</f>
        <v>2</v>
      </c>
      <c r="C5" s="563"/>
      <c r="D5" s="564">
        <f>CONTROLE!E24</f>
        <v>20</v>
      </c>
      <c r="E5" s="564">
        <f>META!F17</f>
        <v>96</v>
      </c>
      <c r="F5" s="564">
        <f t="shared" si="1"/>
        <v>116</v>
      </c>
      <c r="G5" s="564">
        <v>300.0</v>
      </c>
      <c r="H5" s="565">
        <f t="shared" si="2"/>
        <v>416</v>
      </c>
      <c r="I5" s="436" t="s">
        <v>134</v>
      </c>
      <c r="J5" s="436" t="s">
        <v>134</v>
      </c>
      <c r="K5" s="436" t="s">
        <v>134</v>
      </c>
      <c r="L5" s="566" t="s">
        <v>177</v>
      </c>
      <c r="M5" s="567">
        <f>'REFERENCIA PML'!C11</f>
        <v>22.14</v>
      </c>
      <c r="N5" s="568">
        <v>9.0E-4</v>
      </c>
      <c r="O5" s="569" t="s">
        <v>178</v>
      </c>
      <c r="P5" s="570" t="str">
        <f>'REFERENCIA PML'!C18</f>
        <v>R$ 22,89</v>
      </c>
      <c r="Q5" s="571">
        <v>0.8014</v>
      </c>
      <c r="R5" s="572">
        <f>'REFERENCIA PML'!E18</f>
        <v>32.53</v>
      </c>
      <c r="S5" s="166"/>
      <c r="T5" s="166"/>
      <c r="U5" s="166"/>
      <c r="V5" s="166"/>
      <c r="W5" s="166"/>
      <c r="X5" s="166"/>
      <c r="Y5" s="166"/>
      <c r="Z5" s="166"/>
      <c r="AA5" s="166"/>
    </row>
    <row r="6" ht="15.75" customHeight="1">
      <c r="A6" s="294" t="s">
        <v>98</v>
      </c>
      <c r="B6" s="573">
        <f>CONTROLE!I37</f>
        <v>4</v>
      </c>
      <c r="C6" s="574"/>
      <c r="D6" s="575">
        <f>CONTROLE!E37</f>
        <v>40</v>
      </c>
      <c r="E6" s="575">
        <f>CONTROLE!D37</f>
        <v>88</v>
      </c>
      <c r="F6" s="575">
        <f t="shared" si="1"/>
        <v>128</v>
      </c>
      <c r="G6" s="575">
        <v>300.0</v>
      </c>
      <c r="H6" s="576">
        <f t="shared" si="2"/>
        <v>428</v>
      </c>
      <c r="I6" s="436" t="s">
        <v>134</v>
      </c>
      <c r="J6" s="303" t="s">
        <v>134</v>
      </c>
      <c r="K6" s="303" t="s">
        <v>134</v>
      </c>
      <c r="L6" s="303" t="s">
        <v>134</v>
      </c>
      <c r="M6" s="303" t="s">
        <v>134</v>
      </c>
      <c r="N6" s="405" t="s">
        <v>134</v>
      </c>
      <c r="O6" s="577" t="s">
        <v>179</v>
      </c>
      <c r="P6" s="578" t="str">
        <f>'REFERENCIA PML'!C19</f>
        <v>R$ 24,58</v>
      </c>
      <c r="Q6" s="579">
        <v>0.6529</v>
      </c>
      <c r="R6" s="580">
        <f>'REFERENCIA PML'!E19</f>
        <v>31.51</v>
      </c>
      <c r="S6" s="166"/>
      <c r="T6" s="166"/>
      <c r="U6" s="166"/>
      <c r="V6" s="166"/>
      <c r="W6" s="166"/>
      <c r="X6" s="166"/>
      <c r="Y6" s="166"/>
      <c r="Z6" s="166"/>
      <c r="AA6" s="166"/>
    </row>
    <row r="7" ht="15.75" customHeight="1">
      <c r="A7" s="324" t="s">
        <v>103</v>
      </c>
      <c r="B7" s="323">
        <f>CONTROLE!I52</f>
        <v>1</v>
      </c>
      <c r="C7" s="328"/>
      <c r="D7" s="581">
        <f>CONTROLE!E52</f>
        <v>10</v>
      </c>
      <c r="E7" s="581">
        <f>CONTROLE!D52</f>
        <v>56</v>
      </c>
      <c r="F7" s="581">
        <f t="shared" si="1"/>
        <v>66</v>
      </c>
      <c r="G7" s="581">
        <v>300.0</v>
      </c>
      <c r="H7" s="581">
        <f t="shared" si="2"/>
        <v>366</v>
      </c>
      <c r="I7" s="431" t="s">
        <v>134</v>
      </c>
      <c r="J7" s="582"/>
      <c r="K7" s="582"/>
      <c r="L7" s="582"/>
      <c r="M7" s="582"/>
      <c r="N7" s="583"/>
      <c r="O7" s="584">
        <v>22.0</v>
      </c>
      <c r="P7" s="585">
        <f>'REFERENCIA PML'!C20</f>
        <v>22.47</v>
      </c>
      <c r="Q7" s="586">
        <v>0.394</v>
      </c>
      <c r="R7" s="587">
        <f>'REFERENCIA PML'!E20</f>
        <v>33.11</v>
      </c>
      <c r="S7" s="166"/>
      <c r="T7" s="166"/>
      <c r="U7" s="166"/>
      <c r="V7" s="166"/>
      <c r="W7" s="166"/>
      <c r="X7" s="166"/>
      <c r="Y7" s="166"/>
      <c r="Z7" s="166"/>
      <c r="AA7" s="166"/>
    </row>
    <row r="8" ht="15.75" customHeight="1">
      <c r="A8" s="166" t="s">
        <v>110</v>
      </c>
      <c r="B8" s="335">
        <f>CONTROLE!I70</f>
        <v>4</v>
      </c>
      <c r="C8" s="284"/>
      <c r="D8" s="588">
        <f>CONTROLE!E70</f>
        <v>40</v>
      </c>
      <c r="E8" s="588">
        <f>CONTROLE!D70</f>
        <v>73</v>
      </c>
      <c r="F8" s="588">
        <f t="shared" si="1"/>
        <v>113</v>
      </c>
      <c r="G8" s="588">
        <f>CONTROLE!G70</f>
        <v>300</v>
      </c>
      <c r="H8" s="588">
        <f t="shared" si="2"/>
        <v>413</v>
      </c>
      <c r="I8" s="272"/>
      <c r="J8" s="166"/>
      <c r="K8" s="166"/>
      <c r="L8" s="166"/>
      <c r="M8" s="166"/>
      <c r="N8" s="166"/>
      <c r="O8" s="336">
        <f>6869/267</f>
        <v>25.72659176</v>
      </c>
      <c r="P8" s="588">
        <f>'REFERENCIA PML'!C21</f>
        <v>25.34</v>
      </c>
      <c r="Q8" s="168">
        <f>3474/6869</f>
        <v>0.5057504731</v>
      </c>
      <c r="R8" s="589">
        <f>'REFERENCIA PML'!E21</f>
        <v>45.49</v>
      </c>
      <c r="S8" s="36">
        <v>4.0</v>
      </c>
      <c r="T8" s="166">
        <v>2.0</v>
      </c>
      <c r="U8" s="166">
        <v>0.0</v>
      </c>
      <c r="V8" s="166">
        <v>1.0</v>
      </c>
      <c r="W8" s="166"/>
      <c r="X8" s="166"/>
      <c r="Y8" s="166"/>
      <c r="Z8" s="166"/>
      <c r="AA8" s="166"/>
    </row>
    <row r="9" ht="15.75" customHeight="1">
      <c r="A9" s="590" t="s">
        <v>138</v>
      </c>
      <c r="B9" s="591">
        <f>CONTROLE!I87</f>
        <v>4</v>
      </c>
      <c r="C9" s="592"/>
      <c r="D9" s="593">
        <f>CONTROLE!E87</f>
        <v>40</v>
      </c>
      <c r="E9" s="593">
        <f>CONTROLE!D87</f>
        <v>68</v>
      </c>
      <c r="F9" s="593">
        <f t="shared" si="1"/>
        <v>108</v>
      </c>
      <c r="G9" s="593">
        <f>CONTROLE!G87</f>
        <v>250</v>
      </c>
      <c r="H9" s="593">
        <f t="shared" si="2"/>
        <v>358</v>
      </c>
      <c r="I9" s="594"/>
      <c r="J9" s="595"/>
      <c r="K9" s="595"/>
      <c r="L9" s="595"/>
      <c r="M9" s="595"/>
      <c r="N9" s="596"/>
      <c r="O9" s="597">
        <f>5539.5/200</f>
        <v>27.6975</v>
      </c>
      <c r="P9" s="592">
        <f>'REFERENCIA PML'!C22</f>
        <v>26.36</v>
      </c>
      <c r="Q9" s="598">
        <f>2740/5539.5</f>
        <v>0.4946294792</v>
      </c>
      <c r="R9" s="599">
        <f>'REFERENCIA PML'!E22</f>
        <v>47.24</v>
      </c>
      <c r="S9" s="166"/>
      <c r="T9" s="166"/>
      <c r="U9" s="166"/>
      <c r="V9" s="166"/>
      <c r="W9" s="166"/>
      <c r="X9" s="166"/>
      <c r="Y9" s="166"/>
      <c r="Z9" s="166"/>
      <c r="AA9" s="166"/>
    </row>
    <row r="10" ht="15.75" customHeight="1">
      <c r="A10" s="600" t="s">
        <v>139</v>
      </c>
      <c r="B10" s="601">
        <f>CONTROLE!I102</f>
        <v>1</v>
      </c>
      <c r="C10" s="602"/>
      <c r="D10" s="603">
        <f>CONTROLE!E102</f>
        <v>10</v>
      </c>
      <c r="E10" s="603">
        <f>CONTROLE!D102</f>
        <v>0</v>
      </c>
      <c r="F10" s="603">
        <f t="shared" si="1"/>
        <v>10</v>
      </c>
      <c r="G10" s="603">
        <f>CONTROLE!G102</f>
        <v>0</v>
      </c>
      <c r="H10" s="603">
        <f t="shared" si="2"/>
        <v>10</v>
      </c>
      <c r="I10" s="600" t="s">
        <v>134</v>
      </c>
      <c r="J10" s="600" t="s">
        <v>134</v>
      </c>
      <c r="K10" s="600" t="s">
        <v>134</v>
      </c>
      <c r="L10" s="600" t="s">
        <v>134</v>
      </c>
      <c r="M10" s="600" t="s">
        <v>134</v>
      </c>
      <c r="N10" s="604" t="s">
        <v>134</v>
      </c>
      <c r="O10" s="605">
        <f>4726.8202/234</f>
        <v>20.20008632</v>
      </c>
      <c r="P10" s="606">
        <f>'REFERENCIA PML'!C23</f>
        <v>21.59</v>
      </c>
      <c r="Q10" s="607">
        <f>1570.7201/4726.8202</f>
        <v>0.3322995235</v>
      </c>
      <c r="R10" s="608">
        <f>'REFERENCIA PML'!E23</f>
        <v>28.28</v>
      </c>
      <c r="S10" s="166"/>
      <c r="T10" s="166"/>
      <c r="U10" s="166"/>
      <c r="V10" s="166"/>
      <c r="W10" s="166"/>
      <c r="X10" s="166"/>
      <c r="Y10" s="166"/>
      <c r="Z10" s="166"/>
      <c r="AA10" s="166"/>
    </row>
    <row r="11" ht="15.75" customHeight="1">
      <c r="A11" s="294" t="s">
        <v>141</v>
      </c>
      <c r="B11" s="555"/>
      <c r="C11" s="555"/>
      <c r="D11" s="555"/>
      <c r="E11" s="555"/>
      <c r="F11" s="555"/>
      <c r="G11" s="556"/>
      <c r="H11" s="555"/>
      <c r="I11" s="294"/>
      <c r="J11" s="294"/>
      <c r="K11" s="294"/>
      <c r="L11" s="294"/>
      <c r="M11" s="294"/>
      <c r="N11" s="361"/>
      <c r="O11" s="334"/>
      <c r="P11" s="166"/>
      <c r="Q11" s="166"/>
      <c r="R11" s="609"/>
      <c r="S11" s="166"/>
      <c r="T11" s="166"/>
      <c r="U11" s="166"/>
      <c r="V11" s="166"/>
      <c r="W11" s="166"/>
      <c r="X11" s="166"/>
      <c r="Y11" s="166"/>
      <c r="Z11" s="166"/>
      <c r="AA11" s="166"/>
    </row>
    <row r="12" ht="15.75" customHeight="1">
      <c r="A12" s="294" t="s">
        <v>142</v>
      </c>
      <c r="B12" s="555"/>
      <c r="C12" s="555"/>
      <c r="D12" s="555"/>
      <c r="E12" s="555"/>
      <c r="F12" s="555"/>
      <c r="G12" s="556"/>
      <c r="H12" s="555"/>
      <c r="I12" s="294"/>
      <c r="J12" s="294"/>
      <c r="K12" s="294"/>
      <c r="L12" s="294"/>
      <c r="M12" s="294"/>
      <c r="N12" s="361"/>
      <c r="O12" s="334"/>
      <c r="P12" s="166"/>
      <c r="Q12" s="166"/>
      <c r="R12" s="609"/>
      <c r="S12" s="166"/>
      <c r="T12" s="166"/>
      <c r="U12" s="166"/>
      <c r="V12" s="166"/>
      <c r="W12" s="166"/>
      <c r="X12" s="166"/>
      <c r="Y12" s="166"/>
      <c r="Z12" s="166"/>
      <c r="AA12" s="166"/>
    </row>
    <row r="13" ht="15.75" customHeight="1">
      <c r="A13" s="294" t="s">
        <v>143</v>
      </c>
      <c r="B13" s="555"/>
      <c r="C13" s="555"/>
      <c r="D13" s="555"/>
      <c r="E13" s="555"/>
      <c r="F13" s="555"/>
      <c r="G13" s="556"/>
      <c r="H13" s="555"/>
      <c r="I13" s="294"/>
      <c r="J13" s="294"/>
      <c r="K13" s="294"/>
      <c r="L13" s="294"/>
      <c r="M13" s="294"/>
      <c r="N13" s="361"/>
      <c r="O13" s="334"/>
      <c r="P13" s="166"/>
      <c r="Q13" s="166"/>
      <c r="R13" s="609"/>
      <c r="S13" s="166"/>
      <c r="T13" s="166"/>
      <c r="U13" s="166"/>
      <c r="V13" s="166"/>
      <c r="W13" s="166"/>
      <c r="X13" s="166"/>
      <c r="Y13" s="166"/>
      <c r="Z13" s="166"/>
      <c r="AA13" s="166"/>
    </row>
    <row r="14" ht="15.75" customHeight="1">
      <c r="A14" s="294" t="s">
        <v>144</v>
      </c>
      <c r="B14" s="555"/>
      <c r="C14" s="555"/>
      <c r="D14" s="555"/>
      <c r="E14" s="555"/>
      <c r="F14" s="555"/>
      <c r="G14" s="556"/>
      <c r="H14" s="555"/>
      <c r="I14" s="294"/>
      <c r="J14" s="294"/>
      <c r="K14" s="294"/>
      <c r="L14" s="294"/>
      <c r="M14" s="294"/>
      <c r="N14" s="361"/>
      <c r="O14" s="334"/>
      <c r="P14" s="166"/>
      <c r="Q14" s="166"/>
      <c r="R14" s="609"/>
      <c r="S14" s="166"/>
      <c r="T14" s="166"/>
      <c r="U14" s="166"/>
      <c r="V14" s="166"/>
      <c r="W14" s="166"/>
      <c r="X14" s="166"/>
      <c r="Y14" s="166"/>
      <c r="Z14" s="166"/>
      <c r="AA14" s="166"/>
    </row>
    <row r="15" ht="15.75" customHeight="1">
      <c r="A15" s="294" t="s">
        <v>145</v>
      </c>
      <c r="B15" s="555"/>
      <c r="C15" s="555"/>
      <c r="D15" s="555"/>
      <c r="E15" s="555"/>
      <c r="F15" s="555"/>
      <c r="G15" s="556"/>
      <c r="H15" s="555"/>
      <c r="I15" s="294"/>
      <c r="J15" s="294"/>
      <c r="K15" s="294"/>
      <c r="L15" s="294"/>
      <c r="M15" s="294"/>
      <c r="N15" s="361"/>
      <c r="O15" s="610"/>
      <c r="P15" s="611"/>
      <c r="Q15" s="611"/>
      <c r="R15" s="612"/>
      <c r="S15" s="166"/>
      <c r="T15" s="166"/>
      <c r="U15" s="166"/>
      <c r="V15" s="166"/>
      <c r="W15" s="166"/>
      <c r="X15" s="166"/>
      <c r="Y15" s="166"/>
      <c r="Z15" s="166"/>
      <c r="AA15" s="166"/>
    </row>
    <row r="16" ht="15.75" customHeight="1">
      <c r="A16" s="166"/>
      <c r="B16" s="166"/>
      <c r="C16" s="166"/>
      <c r="D16" s="166"/>
      <c r="E16" s="166"/>
      <c r="F16" s="166"/>
      <c r="G16" s="272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 ht="15.75" customHeight="1">
      <c r="A17" s="166"/>
      <c r="B17" s="166"/>
      <c r="C17" s="166"/>
      <c r="D17" s="166"/>
      <c r="E17" s="166"/>
      <c r="F17" s="166"/>
      <c r="G17" s="272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 ht="15.75" customHeight="1">
      <c r="A18" s="166"/>
      <c r="B18" s="166"/>
      <c r="C18" s="166"/>
      <c r="D18" s="166"/>
      <c r="E18" s="7"/>
      <c r="F18" s="7"/>
      <c r="G18" s="7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 ht="15.75" customHeight="1">
      <c r="A19" s="166"/>
      <c r="B19" s="7"/>
      <c r="C19" s="166"/>
      <c r="D19" s="7"/>
      <c r="E19" s="166"/>
      <c r="F19" s="166"/>
      <c r="G19" s="272"/>
      <c r="H19" s="7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 ht="15.75" customHeight="1">
      <c r="A20" s="166"/>
      <c r="B20" s="7"/>
      <c r="C20" s="166"/>
      <c r="D20" s="7"/>
      <c r="E20" s="7"/>
      <c r="F20" s="166"/>
      <c r="G20" s="272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 ht="15.75" customHeight="1">
      <c r="A21" s="166"/>
      <c r="B21" s="166"/>
      <c r="C21" s="166"/>
      <c r="D21" s="166"/>
      <c r="E21" s="166"/>
      <c r="F21" s="166"/>
      <c r="G21" s="272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 ht="15.75" customHeight="1">
      <c r="A22" s="166"/>
      <c r="B22" s="166"/>
      <c r="C22" s="166"/>
      <c r="D22" s="166"/>
      <c r="E22" s="166"/>
      <c r="F22" s="166"/>
      <c r="G22" s="272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 ht="15.75" customHeight="1">
      <c r="A23" s="166"/>
      <c r="B23" s="166"/>
      <c r="C23" s="166"/>
      <c r="D23" s="166"/>
      <c r="E23" s="166"/>
      <c r="F23" s="166"/>
      <c r="G23" s="272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 ht="15.75" customHeight="1">
      <c r="A24" s="166"/>
      <c r="B24" s="166"/>
      <c r="C24" s="166"/>
      <c r="D24" s="166"/>
      <c r="E24" s="166"/>
      <c r="F24" s="166"/>
      <c r="G24" s="272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 ht="15.75" customHeight="1">
      <c r="A25" s="166"/>
      <c r="B25" s="166"/>
      <c r="C25" s="166"/>
      <c r="D25" s="166"/>
      <c r="E25" s="166"/>
      <c r="F25" s="166"/>
      <c r="G25" s="272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 ht="15.75" customHeight="1">
      <c r="A26" s="166"/>
      <c r="B26" s="166"/>
      <c r="C26" s="166"/>
      <c r="D26" s="166"/>
      <c r="E26" s="166"/>
      <c r="F26" s="166"/>
      <c r="G26" s="272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 ht="15.75" customHeight="1">
      <c r="A27" s="166"/>
      <c r="B27" s="166"/>
      <c r="C27" s="166"/>
      <c r="D27" s="166"/>
      <c r="E27" s="166"/>
      <c r="F27" s="166"/>
      <c r="G27" s="2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 ht="15.75" customHeight="1">
      <c r="A28" s="166"/>
      <c r="B28" s="166"/>
      <c r="C28" s="166"/>
      <c r="D28" s="166"/>
      <c r="E28" s="166"/>
      <c r="F28" s="166"/>
      <c r="G28" s="272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 ht="15.75" customHeight="1">
      <c r="A29" s="613"/>
      <c r="B29" s="613"/>
      <c r="C29" s="613"/>
      <c r="D29" s="613"/>
      <c r="E29" s="613"/>
      <c r="F29" s="613"/>
      <c r="G29" s="614"/>
      <c r="H29" s="613"/>
      <c r="I29" s="613"/>
      <c r="J29" s="613"/>
      <c r="K29" s="613"/>
      <c r="L29" s="613"/>
      <c r="M29" s="613"/>
      <c r="N29" s="613"/>
      <c r="O29" s="613"/>
      <c r="P29" s="613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 ht="15.75" customHeight="1">
      <c r="A30" s="166"/>
      <c r="B30" s="166"/>
      <c r="C30" s="166"/>
      <c r="D30" s="166"/>
      <c r="E30" s="166"/>
      <c r="F30" s="166"/>
      <c r="G30" s="272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 ht="15.75" customHeight="1">
      <c r="A31" s="166"/>
      <c r="B31" s="166"/>
      <c r="C31" s="166"/>
      <c r="D31" s="166"/>
      <c r="E31" s="166"/>
      <c r="F31" s="166"/>
      <c r="G31" s="272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 ht="15.75" customHeight="1">
      <c r="A32" s="166"/>
      <c r="B32" s="166"/>
      <c r="C32" s="166"/>
      <c r="D32" s="166"/>
      <c r="E32" s="166"/>
      <c r="F32" s="166"/>
      <c r="G32" s="272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 ht="15.75" customHeight="1">
      <c r="A33" s="166"/>
      <c r="B33" s="166"/>
      <c r="C33" s="166"/>
      <c r="D33" s="166"/>
      <c r="E33" s="166"/>
      <c r="F33" s="166"/>
      <c r="G33" s="272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 ht="15.75" customHeight="1">
      <c r="A34" s="166"/>
      <c r="B34" s="166"/>
      <c r="C34" s="166"/>
      <c r="D34" s="166"/>
      <c r="E34" s="166"/>
      <c r="F34" s="166"/>
      <c r="G34" s="272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 ht="15.75" customHeight="1">
      <c r="A35" s="166"/>
      <c r="B35" s="166"/>
      <c r="C35" s="166"/>
      <c r="D35" s="166"/>
      <c r="E35" s="166"/>
      <c r="F35" s="166"/>
      <c r="G35" s="272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 ht="15.75" customHeight="1">
      <c r="A36" s="166"/>
      <c r="B36" s="166"/>
      <c r="C36" s="166"/>
      <c r="D36" s="166"/>
      <c r="E36" s="166"/>
      <c r="F36" s="166"/>
      <c r="G36" s="27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272"/>
      <c r="W36" s="166"/>
      <c r="Y36" s="166"/>
      <c r="Z36" s="166"/>
      <c r="AA36" s="166"/>
    </row>
    <row r="37" ht="15.75" customHeight="1">
      <c r="A37" s="166"/>
      <c r="B37" s="166"/>
      <c r="C37" s="166"/>
      <c r="D37" s="166"/>
      <c r="E37" s="166"/>
      <c r="F37" s="166"/>
      <c r="G37" s="272"/>
      <c r="H37" s="166"/>
      <c r="I37" s="166"/>
      <c r="J37" s="166"/>
      <c r="K37" s="166"/>
      <c r="L37" s="166"/>
      <c r="M37" s="166"/>
      <c r="N37" s="166"/>
      <c r="O37" s="166"/>
      <c r="P37" s="166"/>
      <c r="R37" s="166"/>
      <c r="S37" s="166"/>
      <c r="T37" s="166"/>
      <c r="U37" s="273"/>
      <c r="V37" s="272"/>
      <c r="W37" s="273"/>
      <c r="X37" s="273"/>
      <c r="Y37" s="166"/>
      <c r="Z37" s="166"/>
      <c r="AA37" s="166"/>
    </row>
    <row r="38" ht="15.75" customHeight="1">
      <c r="A38" s="166"/>
      <c r="B38" s="166"/>
      <c r="C38" s="166"/>
      <c r="D38" s="166"/>
      <c r="E38" s="166"/>
      <c r="F38" s="166"/>
      <c r="G38" s="272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273"/>
      <c r="V38" s="272"/>
      <c r="W38" s="273"/>
      <c r="X38" s="68"/>
      <c r="Y38" s="166"/>
      <c r="Z38" s="166"/>
      <c r="AA38" s="166"/>
    </row>
    <row r="39" ht="15.75" customHeight="1">
      <c r="A39" s="166"/>
      <c r="B39" s="166"/>
      <c r="C39" s="166"/>
      <c r="D39" s="166"/>
      <c r="E39" s="166"/>
      <c r="F39" s="166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273"/>
      <c r="V39" s="272"/>
      <c r="W39" s="273"/>
      <c r="Y39" s="166"/>
      <c r="Z39" s="166"/>
      <c r="AA39" s="166"/>
    </row>
    <row r="40" ht="15.75" customHeight="1">
      <c r="A40" s="166"/>
      <c r="B40" s="166"/>
      <c r="C40" s="166"/>
      <c r="D40" s="166"/>
      <c r="E40" s="166"/>
      <c r="F40" s="166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273"/>
      <c r="V40" s="272"/>
      <c r="W40" s="273"/>
      <c r="X40" s="68"/>
      <c r="Y40" s="166"/>
      <c r="Z40" s="166"/>
      <c r="AA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273"/>
      <c r="V41" s="272"/>
      <c r="W41" s="273"/>
      <c r="X41" s="68"/>
      <c r="Y41" s="166"/>
      <c r="Z41" s="166"/>
      <c r="AA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R42" s="166"/>
      <c r="S42" s="166"/>
      <c r="T42" s="166"/>
      <c r="U42" s="273"/>
      <c r="V42" s="272"/>
      <c r="W42" s="273"/>
      <c r="X42" s="273"/>
      <c r="Y42" s="166"/>
      <c r="Z42" s="166"/>
      <c r="AA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273"/>
      <c r="V43" s="272"/>
      <c r="W43" s="273"/>
      <c r="X43" s="68"/>
      <c r="Y43" s="166"/>
      <c r="Z43" s="166"/>
      <c r="AA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273"/>
      <c r="V44" s="272"/>
      <c r="W44" s="273"/>
      <c r="Y44" s="166"/>
      <c r="Z44" s="166"/>
      <c r="AA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273"/>
      <c r="V45" s="272"/>
      <c r="W45" s="273"/>
      <c r="X45" s="68"/>
      <c r="Y45" s="166"/>
      <c r="Z45" s="166"/>
      <c r="AA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R221" s="7"/>
      <c r="S221" s="7"/>
      <c r="T221" s="7"/>
      <c r="U221" s="7"/>
      <c r="V221" s="7"/>
      <c r="W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R222" s="7"/>
      <c r="S222" s="7"/>
      <c r="T222" s="7"/>
      <c r="U222" s="7"/>
      <c r="V222" s="7"/>
      <c r="W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R223" s="7"/>
      <c r="S223" s="7"/>
      <c r="T223" s="7"/>
      <c r="U223" s="7"/>
      <c r="V223" s="7"/>
      <c r="W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R224" s="7"/>
      <c r="S224" s="7"/>
      <c r="T224" s="7"/>
      <c r="U224" s="7"/>
      <c r="V224" s="7"/>
      <c r="W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R225" s="7"/>
      <c r="S225" s="7"/>
      <c r="T225" s="7"/>
      <c r="U225" s="7"/>
      <c r="V225" s="7"/>
      <c r="W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R226" s="7"/>
      <c r="S226" s="7"/>
      <c r="T226" s="7"/>
      <c r="U226" s="7"/>
      <c r="V226" s="7"/>
      <c r="W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R227" s="7"/>
      <c r="S227" s="7"/>
      <c r="T227" s="7"/>
      <c r="U227" s="7"/>
      <c r="V227" s="7"/>
      <c r="W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R228" s="7"/>
      <c r="S228" s="7"/>
      <c r="T228" s="7"/>
      <c r="U228" s="7"/>
      <c r="V228" s="7"/>
      <c r="W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R229" s="7"/>
      <c r="S229" s="7"/>
      <c r="T229" s="7"/>
      <c r="U229" s="7"/>
      <c r="V229" s="7"/>
      <c r="W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R230" s="7"/>
      <c r="S230" s="7"/>
      <c r="T230" s="7"/>
      <c r="U230" s="7"/>
      <c r="V230" s="7"/>
      <c r="W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R231" s="7"/>
      <c r="S231" s="7"/>
      <c r="T231" s="7"/>
      <c r="U231" s="7"/>
      <c r="V231" s="7"/>
      <c r="W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R232" s="7"/>
      <c r="S232" s="7"/>
      <c r="T232" s="7"/>
      <c r="U232" s="7"/>
      <c r="V232" s="7"/>
      <c r="W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R233" s="7"/>
      <c r="S233" s="7"/>
      <c r="T233" s="7"/>
      <c r="U233" s="7"/>
      <c r="V233" s="7"/>
      <c r="W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R234" s="7"/>
      <c r="S234" s="7"/>
      <c r="T234" s="7"/>
      <c r="U234" s="7"/>
      <c r="V234" s="7"/>
      <c r="W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R235" s="7"/>
      <c r="S235" s="7"/>
      <c r="T235" s="7"/>
      <c r="U235" s="7"/>
      <c r="V235" s="7"/>
      <c r="W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R236" s="7"/>
      <c r="S236" s="7"/>
      <c r="T236" s="7"/>
      <c r="U236" s="7"/>
      <c r="V236" s="7"/>
      <c r="W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R237" s="7"/>
      <c r="S237" s="7"/>
      <c r="T237" s="7"/>
      <c r="U237" s="7"/>
      <c r="V237" s="7"/>
      <c r="W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R238" s="7"/>
      <c r="S238" s="7"/>
      <c r="T238" s="7"/>
      <c r="U238" s="7"/>
      <c r="V238" s="7"/>
      <c r="W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R239" s="7"/>
      <c r="S239" s="7"/>
      <c r="T239" s="7"/>
      <c r="U239" s="7"/>
      <c r="V239" s="7"/>
      <c r="W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R240" s="7"/>
      <c r="S240" s="7"/>
      <c r="T240" s="7"/>
      <c r="U240" s="7"/>
      <c r="V240" s="7"/>
      <c r="W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R241" s="7"/>
      <c r="S241" s="7"/>
      <c r="T241" s="7"/>
      <c r="U241" s="7"/>
      <c r="V241" s="7"/>
      <c r="W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R242" s="7"/>
      <c r="S242" s="7"/>
      <c r="T242" s="7"/>
      <c r="U242" s="7"/>
      <c r="V242" s="7"/>
      <c r="W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R243" s="7"/>
      <c r="S243" s="7"/>
      <c r="T243" s="7"/>
      <c r="U243" s="7"/>
      <c r="V243" s="7"/>
      <c r="W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R244" s="7"/>
      <c r="S244" s="7"/>
      <c r="T244" s="7"/>
      <c r="U244" s="7"/>
      <c r="V244" s="7"/>
      <c r="W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R245" s="7"/>
      <c r="S245" s="7"/>
      <c r="T245" s="7"/>
      <c r="U245" s="7"/>
      <c r="V245" s="7"/>
      <c r="W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R246" s="7"/>
      <c r="S246" s="7"/>
      <c r="T246" s="7"/>
      <c r="U246" s="7"/>
      <c r="V246" s="7"/>
      <c r="W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R247" s="7"/>
      <c r="S247" s="7"/>
      <c r="T247" s="7"/>
      <c r="U247" s="7"/>
      <c r="V247" s="7"/>
      <c r="W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R248" s="7"/>
      <c r="S248" s="7"/>
      <c r="T248" s="7"/>
      <c r="U248" s="7"/>
      <c r="V248" s="7"/>
      <c r="W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R249" s="7"/>
      <c r="S249" s="7"/>
      <c r="T249" s="7"/>
      <c r="U249" s="7"/>
      <c r="V249" s="7"/>
      <c r="W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R250" s="7"/>
      <c r="S250" s="7"/>
      <c r="T250" s="7"/>
      <c r="U250" s="7"/>
      <c r="V250" s="7"/>
      <c r="W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R251" s="7"/>
      <c r="S251" s="7"/>
      <c r="T251" s="7"/>
      <c r="U251" s="7"/>
      <c r="V251" s="7"/>
      <c r="W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R252" s="7"/>
      <c r="S252" s="7"/>
      <c r="T252" s="7"/>
      <c r="U252" s="7"/>
      <c r="V252" s="7"/>
      <c r="W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R253" s="7"/>
      <c r="S253" s="7"/>
      <c r="T253" s="7"/>
      <c r="U253" s="7"/>
      <c r="V253" s="7"/>
      <c r="W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R254" s="7"/>
      <c r="S254" s="7"/>
      <c r="T254" s="7"/>
      <c r="U254" s="7"/>
      <c r="V254" s="7"/>
      <c r="W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R255" s="7"/>
      <c r="S255" s="7"/>
      <c r="T255" s="7"/>
      <c r="U255" s="7"/>
      <c r="V255" s="7"/>
      <c r="W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R256" s="7"/>
      <c r="S256" s="7"/>
      <c r="T256" s="7"/>
      <c r="U256" s="7"/>
      <c r="V256" s="7"/>
      <c r="W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R257" s="7"/>
      <c r="S257" s="7"/>
      <c r="T257" s="7"/>
      <c r="U257" s="7"/>
      <c r="V257" s="7"/>
      <c r="W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R258" s="7"/>
      <c r="S258" s="7"/>
      <c r="T258" s="7"/>
      <c r="U258" s="7"/>
      <c r="V258" s="7"/>
      <c r="W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R259" s="7"/>
      <c r="S259" s="7"/>
      <c r="T259" s="7"/>
      <c r="U259" s="7"/>
      <c r="V259" s="7"/>
      <c r="W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R260" s="7"/>
      <c r="S260" s="7"/>
      <c r="T260" s="7"/>
      <c r="U260" s="7"/>
      <c r="V260" s="7"/>
      <c r="W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R261" s="7"/>
      <c r="S261" s="7"/>
      <c r="T261" s="7"/>
      <c r="U261" s="7"/>
      <c r="V261" s="7"/>
      <c r="W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R262" s="7"/>
      <c r="S262" s="7"/>
      <c r="T262" s="7"/>
      <c r="U262" s="7"/>
      <c r="V262" s="7"/>
      <c r="W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R263" s="7"/>
      <c r="S263" s="7"/>
      <c r="T263" s="7"/>
      <c r="U263" s="7"/>
      <c r="V263" s="7"/>
      <c r="W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R264" s="7"/>
      <c r="S264" s="7"/>
      <c r="T264" s="7"/>
      <c r="U264" s="7"/>
      <c r="V264" s="7"/>
      <c r="W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R265" s="7"/>
      <c r="S265" s="7"/>
      <c r="T265" s="7"/>
      <c r="U265" s="7"/>
      <c r="V265" s="7"/>
      <c r="W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R266" s="7"/>
      <c r="S266" s="7"/>
      <c r="T266" s="7"/>
      <c r="U266" s="7"/>
      <c r="V266" s="7"/>
      <c r="W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R267" s="7"/>
      <c r="S267" s="7"/>
      <c r="T267" s="7"/>
      <c r="U267" s="7"/>
      <c r="V267" s="7"/>
      <c r="W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R268" s="7"/>
      <c r="S268" s="7"/>
      <c r="T268" s="7"/>
      <c r="U268" s="7"/>
      <c r="V268" s="7"/>
      <c r="W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R269" s="7"/>
      <c r="S269" s="7"/>
      <c r="T269" s="7"/>
      <c r="U269" s="7"/>
      <c r="V269" s="7"/>
      <c r="W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R270" s="7"/>
      <c r="S270" s="7"/>
      <c r="T270" s="7"/>
      <c r="U270" s="7"/>
      <c r="V270" s="7"/>
      <c r="W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R271" s="7"/>
      <c r="S271" s="7"/>
      <c r="T271" s="7"/>
      <c r="U271" s="7"/>
      <c r="V271" s="7"/>
      <c r="W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R272" s="7"/>
      <c r="S272" s="7"/>
      <c r="T272" s="7"/>
      <c r="U272" s="7"/>
      <c r="V272" s="7"/>
      <c r="W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R273" s="7"/>
      <c r="S273" s="7"/>
      <c r="T273" s="7"/>
      <c r="U273" s="7"/>
      <c r="V273" s="7"/>
      <c r="W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R274" s="7"/>
      <c r="S274" s="7"/>
      <c r="T274" s="7"/>
      <c r="U274" s="7"/>
      <c r="V274" s="7"/>
      <c r="W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R275" s="7"/>
      <c r="S275" s="7"/>
      <c r="T275" s="7"/>
      <c r="U275" s="7"/>
      <c r="V275" s="7"/>
      <c r="W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R276" s="7"/>
      <c r="S276" s="7"/>
      <c r="T276" s="7"/>
      <c r="U276" s="7"/>
      <c r="V276" s="7"/>
      <c r="W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R277" s="7"/>
      <c r="S277" s="7"/>
      <c r="T277" s="7"/>
      <c r="U277" s="7"/>
      <c r="V277" s="7"/>
      <c r="W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R278" s="7"/>
      <c r="S278" s="7"/>
      <c r="T278" s="7"/>
      <c r="U278" s="7"/>
      <c r="V278" s="7"/>
      <c r="W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R279" s="7"/>
      <c r="S279" s="7"/>
      <c r="T279" s="7"/>
      <c r="U279" s="7"/>
      <c r="V279" s="7"/>
      <c r="W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R280" s="7"/>
      <c r="S280" s="7"/>
      <c r="T280" s="7"/>
      <c r="U280" s="7"/>
      <c r="V280" s="7"/>
      <c r="W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R281" s="7"/>
      <c r="S281" s="7"/>
      <c r="T281" s="7"/>
      <c r="U281" s="7"/>
      <c r="V281" s="7"/>
      <c r="W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R282" s="7"/>
      <c r="S282" s="7"/>
      <c r="T282" s="7"/>
      <c r="U282" s="7"/>
      <c r="V282" s="7"/>
      <c r="W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R283" s="7"/>
      <c r="S283" s="7"/>
      <c r="T283" s="7"/>
      <c r="U283" s="7"/>
      <c r="V283" s="7"/>
      <c r="W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R284" s="7"/>
      <c r="S284" s="7"/>
      <c r="T284" s="7"/>
      <c r="U284" s="7"/>
      <c r="V284" s="7"/>
      <c r="W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R285" s="7"/>
      <c r="S285" s="7"/>
      <c r="T285" s="7"/>
      <c r="U285" s="7"/>
      <c r="V285" s="7"/>
      <c r="W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R286" s="7"/>
      <c r="S286" s="7"/>
      <c r="T286" s="7"/>
      <c r="U286" s="7"/>
      <c r="V286" s="7"/>
      <c r="W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R287" s="7"/>
      <c r="S287" s="7"/>
      <c r="T287" s="7"/>
      <c r="U287" s="7"/>
      <c r="V287" s="7"/>
      <c r="W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R288" s="7"/>
      <c r="S288" s="7"/>
      <c r="T288" s="7"/>
      <c r="U288" s="7"/>
      <c r="V288" s="7"/>
      <c r="W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R289" s="7"/>
      <c r="S289" s="7"/>
      <c r="T289" s="7"/>
      <c r="U289" s="7"/>
      <c r="V289" s="7"/>
      <c r="W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R290" s="7"/>
      <c r="S290" s="7"/>
      <c r="T290" s="7"/>
      <c r="U290" s="7"/>
      <c r="V290" s="7"/>
      <c r="W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R291" s="7"/>
      <c r="S291" s="7"/>
      <c r="T291" s="7"/>
      <c r="U291" s="7"/>
      <c r="V291" s="7"/>
      <c r="W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R292" s="7"/>
      <c r="S292" s="7"/>
      <c r="T292" s="7"/>
      <c r="U292" s="7"/>
      <c r="V292" s="7"/>
      <c r="W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R293" s="7"/>
      <c r="S293" s="7"/>
      <c r="T293" s="7"/>
      <c r="U293" s="7"/>
      <c r="V293" s="7"/>
      <c r="W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R294" s="7"/>
      <c r="S294" s="7"/>
      <c r="T294" s="7"/>
      <c r="U294" s="7"/>
      <c r="V294" s="7"/>
      <c r="W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R295" s="7"/>
      <c r="S295" s="7"/>
      <c r="T295" s="7"/>
      <c r="U295" s="7"/>
      <c r="V295" s="7"/>
      <c r="W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R296" s="7"/>
      <c r="S296" s="7"/>
      <c r="T296" s="7"/>
      <c r="U296" s="7"/>
      <c r="V296" s="7"/>
      <c r="W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R297" s="7"/>
      <c r="S297" s="7"/>
      <c r="T297" s="7"/>
      <c r="U297" s="7"/>
      <c r="V297" s="7"/>
      <c r="W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R298" s="7"/>
      <c r="S298" s="7"/>
      <c r="T298" s="7"/>
      <c r="U298" s="7"/>
      <c r="V298" s="7"/>
      <c r="W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R299" s="7"/>
      <c r="S299" s="7"/>
      <c r="T299" s="7"/>
      <c r="U299" s="7"/>
      <c r="V299" s="7"/>
      <c r="W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R300" s="7"/>
      <c r="S300" s="7"/>
      <c r="T300" s="7"/>
      <c r="U300" s="7"/>
      <c r="V300" s="7"/>
      <c r="W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R301" s="7"/>
      <c r="S301" s="7"/>
      <c r="T301" s="7"/>
      <c r="U301" s="7"/>
      <c r="V301" s="7"/>
      <c r="W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R302" s="7"/>
      <c r="S302" s="7"/>
      <c r="T302" s="7"/>
      <c r="U302" s="7"/>
      <c r="V302" s="7"/>
      <c r="W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R303" s="7"/>
      <c r="S303" s="7"/>
      <c r="T303" s="7"/>
      <c r="U303" s="7"/>
      <c r="V303" s="7"/>
      <c r="W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R304" s="7"/>
      <c r="S304" s="7"/>
      <c r="T304" s="7"/>
      <c r="U304" s="7"/>
      <c r="V304" s="7"/>
      <c r="W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R305" s="7"/>
      <c r="S305" s="7"/>
      <c r="T305" s="7"/>
      <c r="U305" s="7"/>
      <c r="V305" s="7"/>
      <c r="W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R306" s="7"/>
      <c r="S306" s="7"/>
      <c r="T306" s="7"/>
      <c r="U306" s="7"/>
      <c r="V306" s="7"/>
      <c r="W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R307" s="7"/>
      <c r="S307" s="7"/>
      <c r="T307" s="7"/>
      <c r="U307" s="7"/>
      <c r="V307" s="7"/>
      <c r="W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R308" s="7"/>
      <c r="S308" s="7"/>
      <c r="T308" s="7"/>
      <c r="U308" s="7"/>
      <c r="V308" s="7"/>
      <c r="W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R309" s="7"/>
      <c r="S309" s="7"/>
      <c r="T309" s="7"/>
      <c r="U309" s="7"/>
      <c r="V309" s="7"/>
      <c r="W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R310" s="7"/>
      <c r="S310" s="7"/>
      <c r="T310" s="7"/>
      <c r="U310" s="7"/>
      <c r="V310" s="7"/>
      <c r="W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R311" s="7"/>
      <c r="S311" s="7"/>
      <c r="T311" s="7"/>
      <c r="U311" s="7"/>
      <c r="V311" s="7"/>
      <c r="W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R312" s="7"/>
      <c r="S312" s="7"/>
      <c r="T312" s="7"/>
      <c r="U312" s="7"/>
      <c r="V312" s="7"/>
      <c r="W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R313" s="7"/>
      <c r="S313" s="7"/>
      <c r="T313" s="7"/>
      <c r="U313" s="7"/>
      <c r="V313" s="7"/>
      <c r="W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R314" s="7"/>
      <c r="S314" s="7"/>
      <c r="T314" s="7"/>
      <c r="U314" s="7"/>
      <c r="V314" s="7"/>
      <c r="W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R315" s="7"/>
      <c r="S315" s="7"/>
      <c r="T315" s="7"/>
      <c r="U315" s="7"/>
      <c r="V315" s="7"/>
      <c r="W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R316" s="7"/>
      <c r="S316" s="7"/>
      <c r="T316" s="7"/>
      <c r="U316" s="7"/>
      <c r="V316" s="7"/>
      <c r="W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R317" s="7"/>
      <c r="S317" s="7"/>
      <c r="T317" s="7"/>
      <c r="U317" s="7"/>
      <c r="V317" s="7"/>
      <c r="W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R318" s="7"/>
      <c r="S318" s="7"/>
      <c r="T318" s="7"/>
      <c r="U318" s="7"/>
      <c r="V318" s="7"/>
      <c r="W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R319" s="7"/>
      <c r="S319" s="7"/>
      <c r="T319" s="7"/>
      <c r="U319" s="7"/>
      <c r="V319" s="7"/>
      <c r="W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R320" s="7"/>
      <c r="S320" s="7"/>
      <c r="T320" s="7"/>
      <c r="U320" s="7"/>
      <c r="V320" s="7"/>
      <c r="W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R321" s="7"/>
      <c r="S321" s="7"/>
      <c r="T321" s="7"/>
      <c r="U321" s="7"/>
      <c r="V321" s="7"/>
      <c r="W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R322" s="7"/>
      <c r="S322" s="7"/>
      <c r="T322" s="7"/>
      <c r="U322" s="7"/>
      <c r="V322" s="7"/>
      <c r="W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R323" s="7"/>
      <c r="S323" s="7"/>
      <c r="T323" s="7"/>
      <c r="U323" s="7"/>
      <c r="V323" s="7"/>
      <c r="W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R324" s="7"/>
      <c r="S324" s="7"/>
      <c r="T324" s="7"/>
      <c r="U324" s="7"/>
      <c r="V324" s="7"/>
      <c r="W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R325" s="7"/>
      <c r="S325" s="7"/>
      <c r="T325" s="7"/>
      <c r="U325" s="7"/>
      <c r="V325" s="7"/>
      <c r="W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R326" s="7"/>
      <c r="S326" s="7"/>
      <c r="T326" s="7"/>
      <c r="U326" s="7"/>
      <c r="V326" s="7"/>
      <c r="W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R327" s="7"/>
      <c r="S327" s="7"/>
      <c r="T327" s="7"/>
      <c r="U327" s="7"/>
      <c r="V327" s="7"/>
      <c r="W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R328" s="7"/>
      <c r="S328" s="7"/>
      <c r="T328" s="7"/>
      <c r="U328" s="7"/>
      <c r="V328" s="7"/>
      <c r="W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R329" s="7"/>
      <c r="S329" s="7"/>
      <c r="T329" s="7"/>
      <c r="U329" s="7"/>
      <c r="V329" s="7"/>
      <c r="W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R330" s="7"/>
      <c r="S330" s="7"/>
      <c r="T330" s="7"/>
      <c r="U330" s="7"/>
      <c r="V330" s="7"/>
      <c r="W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R331" s="7"/>
      <c r="S331" s="7"/>
      <c r="T331" s="7"/>
      <c r="U331" s="7"/>
      <c r="V331" s="7"/>
      <c r="W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R332" s="7"/>
      <c r="S332" s="7"/>
      <c r="T332" s="7"/>
      <c r="U332" s="7"/>
      <c r="V332" s="7"/>
      <c r="W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R333" s="7"/>
      <c r="S333" s="7"/>
      <c r="T333" s="7"/>
      <c r="U333" s="7"/>
      <c r="V333" s="7"/>
      <c r="W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R334" s="7"/>
      <c r="S334" s="7"/>
      <c r="T334" s="7"/>
      <c r="U334" s="7"/>
      <c r="V334" s="7"/>
      <c r="W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R335" s="7"/>
      <c r="S335" s="7"/>
      <c r="T335" s="7"/>
      <c r="U335" s="7"/>
      <c r="V335" s="7"/>
      <c r="W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R336" s="7"/>
      <c r="S336" s="7"/>
      <c r="T336" s="7"/>
      <c r="U336" s="7"/>
      <c r="V336" s="7"/>
      <c r="W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R337" s="7"/>
      <c r="S337" s="7"/>
      <c r="T337" s="7"/>
      <c r="U337" s="7"/>
      <c r="V337" s="7"/>
      <c r="W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R338" s="7"/>
      <c r="S338" s="7"/>
      <c r="T338" s="7"/>
      <c r="U338" s="7"/>
      <c r="V338" s="7"/>
      <c r="W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R339" s="7"/>
      <c r="S339" s="7"/>
      <c r="T339" s="7"/>
      <c r="U339" s="7"/>
      <c r="V339" s="7"/>
      <c r="W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R340" s="7"/>
      <c r="S340" s="7"/>
      <c r="T340" s="7"/>
      <c r="U340" s="7"/>
      <c r="V340" s="7"/>
      <c r="W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R341" s="7"/>
      <c r="S341" s="7"/>
      <c r="T341" s="7"/>
      <c r="U341" s="7"/>
      <c r="V341" s="7"/>
      <c r="W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R342" s="7"/>
      <c r="S342" s="7"/>
      <c r="T342" s="7"/>
      <c r="U342" s="7"/>
      <c r="V342" s="7"/>
      <c r="W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R343" s="7"/>
      <c r="S343" s="7"/>
      <c r="T343" s="7"/>
      <c r="U343" s="7"/>
      <c r="V343" s="7"/>
      <c r="W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R344" s="7"/>
      <c r="S344" s="7"/>
      <c r="T344" s="7"/>
      <c r="U344" s="7"/>
      <c r="V344" s="7"/>
      <c r="W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R345" s="7"/>
      <c r="S345" s="7"/>
      <c r="T345" s="7"/>
      <c r="U345" s="7"/>
      <c r="V345" s="7"/>
      <c r="W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R346" s="7"/>
      <c r="S346" s="7"/>
      <c r="T346" s="7"/>
      <c r="U346" s="7"/>
      <c r="V346" s="7"/>
      <c r="W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R347" s="7"/>
      <c r="S347" s="7"/>
      <c r="T347" s="7"/>
      <c r="U347" s="7"/>
      <c r="V347" s="7"/>
      <c r="W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R348" s="7"/>
      <c r="S348" s="7"/>
      <c r="T348" s="7"/>
      <c r="U348" s="7"/>
      <c r="V348" s="7"/>
      <c r="W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R349" s="7"/>
      <c r="S349" s="7"/>
      <c r="T349" s="7"/>
      <c r="U349" s="7"/>
      <c r="V349" s="7"/>
      <c r="W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R350" s="7"/>
      <c r="S350" s="7"/>
      <c r="T350" s="7"/>
      <c r="U350" s="7"/>
      <c r="V350" s="7"/>
      <c r="W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R351" s="7"/>
      <c r="S351" s="7"/>
      <c r="T351" s="7"/>
      <c r="U351" s="7"/>
      <c r="V351" s="7"/>
      <c r="W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R352" s="7"/>
      <c r="S352" s="7"/>
      <c r="T352" s="7"/>
      <c r="U352" s="7"/>
      <c r="V352" s="7"/>
      <c r="W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R353" s="7"/>
      <c r="S353" s="7"/>
      <c r="T353" s="7"/>
      <c r="U353" s="7"/>
      <c r="V353" s="7"/>
      <c r="W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R354" s="7"/>
      <c r="S354" s="7"/>
      <c r="T354" s="7"/>
      <c r="U354" s="7"/>
      <c r="V354" s="7"/>
      <c r="W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R355" s="7"/>
      <c r="S355" s="7"/>
      <c r="T355" s="7"/>
      <c r="U355" s="7"/>
      <c r="V355" s="7"/>
      <c r="W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R356" s="7"/>
      <c r="S356" s="7"/>
      <c r="T356" s="7"/>
      <c r="U356" s="7"/>
      <c r="V356" s="7"/>
      <c r="W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R357" s="7"/>
      <c r="S357" s="7"/>
      <c r="T357" s="7"/>
      <c r="U357" s="7"/>
      <c r="V357" s="7"/>
      <c r="W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R358" s="7"/>
      <c r="S358" s="7"/>
      <c r="T358" s="7"/>
      <c r="U358" s="7"/>
      <c r="V358" s="7"/>
      <c r="W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R359" s="7"/>
      <c r="S359" s="7"/>
      <c r="T359" s="7"/>
      <c r="U359" s="7"/>
      <c r="V359" s="7"/>
      <c r="W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R360" s="7"/>
      <c r="S360" s="7"/>
      <c r="T360" s="7"/>
      <c r="U360" s="7"/>
      <c r="V360" s="7"/>
      <c r="W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R361" s="7"/>
      <c r="S361" s="7"/>
      <c r="T361" s="7"/>
      <c r="U361" s="7"/>
      <c r="V361" s="7"/>
      <c r="W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R362" s="7"/>
      <c r="S362" s="7"/>
      <c r="T362" s="7"/>
      <c r="U362" s="7"/>
      <c r="V362" s="7"/>
      <c r="W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R363" s="7"/>
      <c r="S363" s="7"/>
      <c r="T363" s="7"/>
      <c r="U363" s="7"/>
      <c r="V363" s="7"/>
      <c r="W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R364" s="7"/>
      <c r="S364" s="7"/>
      <c r="T364" s="7"/>
      <c r="U364" s="7"/>
      <c r="V364" s="7"/>
      <c r="W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R365" s="7"/>
      <c r="S365" s="7"/>
      <c r="T365" s="7"/>
      <c r="U365" s="7"/>
      <c r="V365" s="7"/>
      <c r="W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R366" s="7"/>
      <c r="S366" s="7"/>
      <c r="T366" s="7"/>
      <c r="U366" s="7"/>
      <c r="V366" s="7"/>
      <c r="W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R367" s="7"/>
      <c r="S367" s="7"/>
      <c r="T367" s="7"/>
      <c r="U367" s="7"/>
      <c r="V367" s="7"/>
      <c r="W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R368" s="7"/>
      <c r="S368" s="7"/>
      <c r="T368" s="7"/>
      <c r="U368" s="7"/>
      <c r="V368" s="7"/>
      <c r="W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R369" s="7"/>
      <c r="S369" s="7"/>
      <c r="T369" s="7"/>
      <c r="U369" s="7"/>
      <c r="V369" s="7"/>
      <c r="W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R370" s="7"/>
      <c r="S370" s="7"/>
      <c r="T370" s="7"/>
      <c r="U370" s="7"/>
      <c r="V370" s="7"/>
      <c r="W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R371" s="7"/>
      <c r="S371" s="7"/>
      <c r="T371" s="7"/>
      <c r="U371" s="7"/>
      <c r="V371" s="7"/>
      <c r="W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R372" s="7"/>
      <c r="S372" s="7"/>
      <c r="T372" s="7"/>
      <c r="U372" s="7"/>
      <c r="V372" s="7"/>
      <c r="W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R373" s="7"/>
      <c r="S373" s="7"/>
      <c r="T373" s="7"/>
      <c r="U373" s="7"/>
      <c r="V373" s="7"/>
      <c r="W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R374" s="7"/>
      <c r="S374" s="7"/>
      <c r="T374" s="7"/>
      <c r="U374" s="7"/>
      <c r="V374" s="7"/>
      <c r="W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R375" s="7"/>
      <c r="S375" s="7"/>
      <c r="T375" s="7"/>
      <c r="U375" s="7"/>
      <c r="V375" s="7"/>
      <c r="W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R376" s="7"/>
      <c r="S376" s="7"/>
      <c r="T376" s="7"/>
      <c r="U376" s="7"/>
      <c r="V376" s="7"/>
      <c r="W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R377" s="7"/>
      <c r="S377" s="7"/>
      <c r="T377" s="7"/>
      <c r="U377" s="7"/>
      <c r="V377" s="7"/>
      <c r="W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R378" s="7"/>
      <c r="S378" s="7"/>
      <c r="T378" s="7"/>
      <c r="U378" s="7"/>
      <c r="V378" s="7"/>
      <c r="W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R379" s="7"/>
      <c r="S379" s="7"/>
      <c r="T379" s="7"/>
      <c r="U379" s="7"/>
      <c r="V379" s="7"/>
      <c r="W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R380" s="7"/>
      <c r="S380" s="7"/>
      <c r="T380" s="7"/>
      <c r="U380" s="7"/>
      <c r="V380" s="7"/>
      <c r="W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R381" s="7"/>
      <c r="S381" s="7"/>
      <c r="T381" s="7"/>
      <c r="U381" s="7"/>
      <c r="V381" s="7"/>
      <c r="W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R382" s="7"/>
      <c r="S382" s="7"/>
      <c r="T382" s="7"/>
      <c r="U382" s="7"/>
      <c r="V382" s="7"/>
      <c r="W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R383" s="7"/>
      <c r="S383" s="7"/>
      <c r="T383" s="7"/>
      <c r="U383" s="7"/>
      <c r="V383" s="7"/>
      <c r="W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R384" s="7"/>
      <c r="S384" s="7"/>
      <c r="T384" s="7"/>
      <c r="U384" s="7"/>
      <c r="V384" s="7"/>
      <c r="W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R385" s="7"/>
      <c r="S385" s="7"/>
      <c r="T385" s="7"/>
      <c r="U385" s="7"/>
      <c r="V385" s="7"/>
      <c r="W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R386" s="7"/>
      <c r="S386" s="7"/>
      <c r="T386" s="7"/>
      <c r="U386" s="7"/>
      <c r="V386" s="7"/>
      <c r="W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R387" s="7"/>
      <c r="S387" s="7"/>
      <c r="T387" s="7"/>
      <c r="U387" s="7"/>
      <c r="V387" s="7"/>
      <c r="W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R388" s="7"/>
      <c r="S388" s="7"/>
      <c r="T388" s="7"/>
      <c r="U388" s="7"/>
      <c r="V388" s="7"/>
      <c r="W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R389" s="7"/>
      <c r="S389" s="7"/>
      <c r="T389" s="7"/>
      <c r="U389" s="7"/>
      <c r="V389" s="7"/>
      <c r="W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R390" s="7"/>
      <c r="S390" s="7"/>
      <c r="T390" s="7"/>
      <c r="U390" s="7"/>
      <c r="V390" s="7"/>
      <c r="W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R391" s="7"/>
      <c r="S391" s="7"/>
      <c r="T391" s="7"/>
      <c r="U391" s="7"/>
      <c r="V391" s="7"/>
      <c r="W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R392" s="7"/>
      <c r="S392" s="7"/>
      <c r="T392" s="7"/>
      <c r="U392" s="7"/>
      <c r="V392" s="7"/>
      <c r="W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R393" s="7"/>
      <c r="S393" s="7"/>
      <c r="T393" s="7"/>
      <c r="U393" s="7"/>
      <c r="V393" s="7"/>
      <c r="W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R394" s="7"/>
      <c r="S394" s="7"/>
      <c r="T394" s="7"/>
      <c r="U394" s="7"/>
      <c r="V394" s="7"/>
      <c r="W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R395" s="7"/>
      <c r="S395" s="7"/>
      <c r="T395" s="7"/>
      <c r="U395" s="7"/>
      <c r="V395" s="7"/>
      <c r="W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R396" s="7"/>
      <c r="S396" s="7"/>
      <c r="T396" s="7"/>
      <c r="U396" s="7"/>
      <c r="V396" s="7"/>
      <c r="W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R397" s="7"/>
      <c r="S397" s="7"/>
      <c r="T397" s="7"/>
      <c r="U397" s="7"/>
      <c r="V397" s="7"/>
      <c r="W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R398" s="7"/>
      <c r="S398" s="7"/>
      <c r="T398" s="7"/>
      <c r="U398" s="7"/>
      <c r="V398" s="7"/>
      <c r="W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R399" s="7"/>
      <c r="S399" s="7"/>
      <c r="T399" s="7"/>
      <c r="U399" s="7"/>
      <c r="V399" s="7"/>
      <c r="W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R400" s="7"/>
      <c r="S400" s="7"/>
      <c r="T400" s="7"/>
      <c r="U400" s="7"/>
      <c r="V400" s="7"/>
      <c r="W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R401" s="7"/>
      <c r="S401" s="7"/>
      <c r="T401" s="7"/>
      <c r="U401" s="7"/>
      <c r="V401" s="7"/>
      <c r="W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R402" s="7"/>
      <c r="S402" s="7"/>
      <c r="T402" s="7"/>
      <c r="U402" s="7"/>
      <c r="V402" s="7"/>
      <c r="W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R403" s="7"/>
      <c r="S403" s="7"/>
      <c r="T403" s="7"/>
      <c r="U403" s="7"/>
      <c r="V403" s="7"/>
      <c r="W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R404" s="7"/>
      <c r="S404" s="7"/>
      <c r="T404" s="7"/>
      <c r="U404" s="7"/>
      <c r="V404" s="7"/>
      <c r="W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R405" s="7"/>
      <c r="S405" s="7"/>
      <c r="T405" s="7"/>
      <c r="U405" s="7"/>
      <c r="V405" s="7"/>
      <c r="W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R406" s="7"/>
      <c r="S406" s="7"/>
      <c r="T406" s="7"/>
      <c r="U406" s="7"/>
      <c r="V406" s="7"/>
      <c r="W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R407" s="7"/>
      <c r="S407" s="7"/>
      <c r="T407" s="7"/>
      <c r="U407" s="7"/>
      <c r="V407" s="7"/>
      <c r="W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R408" s="7"/>
      <c r="S408" s="7"/>
      <c r="T408" s="7"/>
      <c r="U408" s="7"/>
      <c r="V408" s="7"/>
      <c r="W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R409" s="7"/>
      <c r="S409" s="7"/>
      <c r="T409" s="7"/>
      <c r="U409" s="7"/>
      <c r="V409" s="7"/>
      <c r="W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R410" s="7"/>
      <c r="S410" s="7"/>
      <c r="T410" s="7"/>
      <c r="U410" s="7"/>
      <c r="V410" s="7"/>
      <c r="W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R411" s="7"/>
      <c r="S411" s="7"/>
      <c r="T411" s="7"/>
      <c r="U411" s="7"/>
      <c r="V411" s="7"/>
      <c r="W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R412" s="7"/>
      <c r="S412" s="7"/>
      <c r="T412" s="7"/>
      <c r="U412" s="7"/>
      <c r="V412" s="7"/>
      <c r="W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R413" s="7"/>
      <c r="S413" s="7"/>
      <c r="T413" s="7"/>
      <c r="U413" s="7"/>
      <c r="V413" s="7"/>
      <c r="W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R414" s="7"/>
      <c r="S414" s="7"/>
      <c r="T414" s="7"/>
      <c r="U414" s="7"/>
      <c r="V414" s="7"/>
      <c r="W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R415" s="7"/>
      <c r="S415" s="7"/>
      <c r="T415" s="7"/>
      <c r="U415" s="7"/>
      <c r="V415" s="7"/>
      <c r="W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R416" s="7"/>
      <c r="S416" s="7"/>
      <c r="T416" s="7"/>
      <c r="U416" s="7"/>
      <c r="V416" s="7"/>
      <c r="W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R417" s="7"/>
      <c r="S417" s="7"/>
      <c r="T417" s="7"/>
      <c r="U417" s="7"/>
      <c r="V417" s="7"/>
      <c r="W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R418" s="7"/>
      <c r="S418" s="7"/>
      <c r="T418" s="7"/>
      <c r="U418" s="7"/>
      <c r="V418" s="7"/>
      <c r="W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R419" s="7"/>
      <c r="S419" s="7"/>
      <c r="T419" s="7"/>
      <c r="U419" s="7"/>
      <c r="V419" s="7"/>
      <c r="W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R420" s="7"/>
      <c r="S420" s="7"/>
      <c r="T420" s="7"/>
      <c r="U420" s="7"/>
      <c r="V420" s="7"/>
      <c r="W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R421" s="7"/>
      <c r="S421" s="7"/>
      <c r="T421" s="7"/>
      <c r="U421" s="7"/>
      <c r="V421" s="7"/>
      <c r="W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R422" s="7"/>
      <c r="S422" s="7"/>
      <c r="T422" s="7"/>
      <c r="U422" s="7"/>
      <c r="V422" s="7"/>
      <c r="W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R423" s="7"/>
      <c r="S423" s="7"/>
      <c r="T423" s="7"/>
      <c r="U423" s="7"/>
      <c r="V423" s="7"/>
      <c r="W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R424" s="7"/>
      <c r="S424" s="7"/>
      <c r="T424" s="7"/>
      <c r="U424" s="7"/>
      <c r="V424" s="7"/>
      <c r="W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R425" s="7"/>
      <c r="S425" s="7"/>
      <c r="T425" s="7"/>
      <c r="U425" s="7"/>
      <c r="V425" s="7"/>
      <c r="W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R426" s="7"/>
      <c r="S426" s="7"/>
      <c r="T426" s="7"/>
      <c r="U426" s="7"/>
      <c r="V426" s="7"/>
      <c r="W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R427" s="7"/>
      <c r="S427" s="7"/>
      <c r="T427" s="7"/>
      <c r="U427" s="7"/>
      <c r="V427" s="7"/>
      <c r="W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R428" s="7"/>
      <c r="S428" s="7"/>
      <c r="T428" s="7"/>
      <c r="U428" s="7"/>
      <c r="V428" s="7"/>
      <c r="W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R429" s="7"/>
      <c r="S429" s="7"/>
      <c r="T429" s="7"/>
      <c r="U429" s="7"/>
      <c r="V429" s="7"/>
      <c r="W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R430" s="7"/>
      <c r="S430" s="7"/>
      <c r="T430" s="7"/>
      <c r="U430" s="7"/>
      <c r="V430" s="7"/>
      <c r="W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R431" s="7"/>
      <c r="S431" s="7"/>
      <c r="T431" s="7"/>
      <c r="U431" s="7"/>
      <c r="V431" s="7"/>
      <c r="W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R432" s="7"/>
      <c r="S432" s="7"/>
      <c r="T432" s="7"/>
      <c r="U432" s="7"/>
      <c r="V432" s="7"/>
      <c r="W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R433" s="7"/>
      <c r="S433" s="7"/>
      <c r="T433" s="7"/>
      <c r="U433" s="7"/>
      <c r="V433" s="7"/>
      <c r="W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R434" s="7"/>
      <c r="S434" s="7"/>
      <c r="T434" s="7"/>
      <c r="U434" s="7"/>
      <c r="V434" s="7"/>
      <c r="W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R435" s="7"/>
      <c r="S435" s="7"/>
      <c r="T435" s="7"/>
      <c r="U435" s="7"/>
      <c r="V435" s="7"/>
      <c r="W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R436" s="7"/>
      <c r="S436" s="7"/>
      <c r="T436" s="7"/>
      <c r="U436" s="7"/>
      <c r="V436" s="7"/>
      <c r="W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R437" s="7"/>
      <c r="S437" s="7"/>
      <c r="T437" s="7"/>
      <c r="U437" s="7"/>
      <c r="V437" s="7"/>
      <c r="W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R438" s="7"/>
      <c r="S438" s="7"/>
      <c r="T438" s="7"/>
      <c r="U438" s="7"/>
      <c r="V438" s="7"/>
      <c r="W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R439" s="7"/>
      <c r="S439" s="7"/>
      <c r="T439" s="7"/>
      <c r="U439" s="7"/>
      <c r="V439" s="7"/>
      <c r="W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R440" s="7"/>
      <c r="S440" s="7"/>
      <c r="T440" s="7"/>
      <c r="U440" s="7"/>
      <c r="V440" s="7"/>
      <c r="W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R441" s="7"/>
      <c r="S441" s="7"/>
      <c r="T441" s="7"/>
      <c r="U441" s="7"/>
      <c r="V441" s="7"/>
      <c r="W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R442" s="7"/>
      <c r="S442" s="7"/>
      <c r="T442" s="7"/>
      <c r="U442" s="7"/>
      <c r="V442" s="7"/>
      <c r="W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R443" s="7"/>
      <c r="S443" s="7"/>
      <c r="T443" s="7"/>
      <c r="U443" s="7"/>
      <c r="V443" s="7"/>
      <c r="W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R444" s="7"/>
      <c r="S444" s="7"/>
      <c r="T444" s="7"/>
      <c r="U444" s="7"/>
      <c r="V444" s="7"/>
      <c r="W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R445" s="7"/>
      <c r="S445" s="7"/>
      <c r="T445" s="7"/>
      <c r="U445" s="7"/>
      <c r="V445" s="7"/>
      <c r="W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R446" s="7"/>
      <c r="S446" s="7"/>
      <c r="T446" s="7"/>
      <c r="U446" s="7"/>
      <c r="V446" s="7"/>
      <c r="W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R447" s="7"/>
      <c r="S447" s="7"/>
      <c r="T447" s="7"/>
      <c r="U447" s="7"/>
      <c r="V447" s="7"/>
      <c r="W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R448" s="7"/>
      <c r="S448" s="7"/>
      <c r="T448" s="7"/>
      <c r="U448" s="7"/>
      <c r="V448" s="7"/>
      <c r="W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R449" s="7"/>
      <c r="S449" s="7"/>
      <c r="T449" s="7"/>
      <c r="U449" s="7"/>
      <c r="V449" s="7"/>
      <c r="W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R450" s="7"/>
      <c r="S450" s="7"/>
      <c r="T450" s="7"/>
      <c r="U450" s="7"/>
      <c r="V450" s="7"/>
      <c r="W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R451" s="7"/>
      <c r="S451" s="7"/>
      <c r="T451" s="7"/>
      <c r="U451" s="7"/>
      <c r="V451" s="7"/>
      <c r="W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R452" s="7"/>
      <c r="S452" s="7"/>
      <c r="T452" s="7"/>
      <c r="U452" s="7"/>
      <c r="V452" s="7"/>
      <c r="W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R453" s="7"/>
      <c r="S453" s="7"/>
      <c r="T453" s="7"/>
      <c r="U453" s="7"/>
      <c r="V453" s="7"/>
      <c r="W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R454" s="7"/>
      <c r="S454" s="7"/>
      <c r="T454" s="7"/>
      <c r="U454" s="7"/>
      <c r="V454" s="7"/>
      <c r="W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R455" s="7"/>
      <c r="S455" s="7"/>
      <c r="T455" s="7"/>
      <c r="U455" s="7"/>
      <c r="V455" s="7"/>
      <c r="W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R456" s="7"/>
      <c r="S456" s="7"/>
      <c r="T456" s="7"/>
      <c r="U456" s="7"/>
      <c r="V456" s="7"/>
      <c r="W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R457" s="7"/>
      <c r="S457" s="7"/>
      <c r="T457" s="7"/>
      <c r="U457" s="7"/>
      <c r="V457" s="7"/>
      <c r="W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R458" s="7"/>
      <c r="S458" s="7"/>
      <c r="T458" s="7"/>
      <c r="U458" s="7"/>
      <c r="V458" s="7"/>
      <c r="W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R459" s="7"/>
      <c r="S459" s="7"/>
      <c r="T459" s="7"/>
      <c r="U459" s="7"/>
      <c r="V459" s="7"/>
      <c r="W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R460" s="7"/>
      <c r="S460" s="7"/>
      <c r="T460" s="7"/>
      <c r="U460" s="7"/>
      <c r="V460" s="7"/>
      <c r="W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R461" s="7"/>
      <c r="S461" s="7"/>
      <c r="T461" s="7"/>
      <c r="U461" s="7"/>
      <c r="V461" s="7"/>
      <c r="W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R462" s="7"/>
      <c r="S462" s="7"/>
      <c r="T462" s="7"/>
      <c r="U462" s="7"/>
      <c r="V462" s="7"/>
      <c r="W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R463" s="7"/>
      <c r="S463" s="7"/>
      <c r="T463" s="7"/>
      <c r="U463" s="7"/>
      <c r="V463" s="7"/>
      <c r="W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R464" s="7"/>
      <c r="S464" s="7"/>
      <c r="T464" s="7"/>
      <c r="U464" s="7"/>
      <c r="V464" s="7"/>
      <c r="W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R465" s="7"/>
      <c r="S465" s="7"/>
      <c r="T465" s="7"/>
      <c r="U465" s="7"/>
      <c r="V465" s="7"/>
      <c r="W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R466" s="7"/>
      <c r="S466" s="7"/>
      <c r="T466" s="7"/>
      <c r="U466" s="7"/>
      <c r="V466" s="7"/>
      <c r="W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R467" s="7"/>
      <c r="S467" s="7"/>
      <c r="T467" s="7"/>
      <c r="U467" s="7"/>
      <c r="V467" s="7"/>
      <c r="W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R468" s="7"/>
      <c r="S468" s="7"/>
      <c r="T468" s="7"/>
      <c r="U468" s="7"/>
      <c r="V468" s="7"/>
      <c r="W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R469" s="7"/>
      <c r="S469" s="7"/>
      <c r="T469" s="7"/>
      <c r="U469" s="7"/>
      <c r="V469" s="7"/>
      <c r="W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R470" s="7"/>
      <c r="S470" s="7"/>
      <c r="T470" s="7"/>
      <c r="U470" s="7"/>
      <c r="V470" s="7"/>
      <c r="W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R471" s="7"/>
      <c r="S471" s="7"/>
      <c r="T471" s="7"/>
      <c r="U471" s="7"/>
      <c r="V471" s="7"/>
      <c r="W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R472" s="7"/>
      <c r="S472" s="7"/>
      <c r="T472" s="7"/>
      <c r="U472" s="7"/>
      <c r="V472" s="7"/>
      <c r="W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R473" s="7"/>
      <c r="S473" s="7"/>
      <c r="T473" s="7"/>
      <c r="U473" s="7"/>
      <c r="V473" s="7"/>
      <c r="W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R474" s="7"/>
      <c r="S474" s="7"/>
      <c r="T474" s="7"/>
      <c r="U474" s="7"/>
      <c r="V474" s="7"/>
      <c r="W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R475" s="7"/>
      <c r="S475" s="7"/>
      <c r="T475" s="7"/>
      <c r="U475" s="7"/>
      <c r="V475" s="7"/>
      <c r="W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R476" s="7"/>
      <c r="S476" s="7"/>
      <c r="T476" s="7"/>
      <c r="U476" s="7"/>
      <c r="V476" s="7"/>
      <c r="W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R477" s="7"/>
      <c r="S477" s="7"/>
      <c r="T477" s="7"/>
      <c r="U477" s="7"/>
      <c r="V477" s="7"/>
      <c r="W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R478" s="7"/>
      <c r="S478" s="7"/>
      <c r="T478" s="7"/>
      <c r="U478" s="7"/>
      <c r="V478" s="7"/>
      <c r="W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R479" s="7"/>
      <c r="S479" s="7"/>
      <c r="T479" s="7"/>
      <c r="U479" s="7"/>
      <c r="V479" s="7"/>
      <c r="W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R480" s="7"/>
      <c r="S480" s="7"/>
      <c r="T480" s="7"/>
      <c r="U480" s="7"/>
      <c r="V480" s="7"/>
      <c r="W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R481" s="7"/>
      <c r="S481" s="7"/>
      <c r="T481" s="7"/>
      <c r="U481" s="7"/>
      <c r="V481" s="7"/>
      <c r="W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R482" s="7"/>
      <c r="S482" s="7"/>
      <c r="T482" s="7"/>
      <c r="U482" s="7"/>
      <c r="V482" s="7"/>
      <c r="W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R483" s="7"/>
      <c r="S483" s="7"/>
      <c r="T483" s="7"/>
      <c r="U483" s="7"/>
      <c r="V483" s="7"/>
      <c r="W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R484" s="7"/>
      <c r="S484" s="7"/>
      <c r="T484" s="7"/>
      <c r="U484" s="7"/>
      <c r="V484" s="7"/>
      <c r="W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R485" s="7"/>
      <c r="S485" s="7"/>
      <c r="T485" s="7"/>
      <c r="U485" s="7"/>
      <c r="V485" s="7"/>
      <c r="W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R486" s="7"/>
      <c r="S486" s="7"/>
      <c r="T486" s="7"/>
      <c r="U486" s="7"/>
      <c r="V486" s="7"/>
      <c r="W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R487" s="7"/>
      <c r="S487" s="7"/>
      <c r="T487" s="7"/>
      <c r="U487" s="7"/>
      <c r="V487" s="7"/>
      <c r="W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R488" s="7"/>
      <c r="S488" s="7"/>
      <c r="T488" s="7"/>
      <c r="U488" s="7"/>
      <c r="V488" s="7"/>
      <c r="W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R489" s="7"/>
      <c r="S489" s="7"/>
      <c r="T489" s="7"/>
      <c r="U489" s="7"/>
      <c r="V489" s="7"/>
      <c r="W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R490" s="7"/>
      <c r="S490" s="7"/>
      <c r="T490" s="7"/>
      <c r="U490" s="7"/>
      <c r="V490" s="7"/>
      <c r="W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R491" s="7"/>
      <c r="S491" s="7"/>
      <c r="T491" s="7"/>
      <c r="U491" s="7"/>
      <c r="V491" s="7"/>
      <c r="W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R492" s="7"/>
      <c r="S492" s="7"/>
      <c r="T492" s="7"/>
      <c r="U492" s="7"/>
      <c r="V492" s="7"/>
      <c r="W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R493" s="7"/>
      <c r="S493" s="7"/>
      <c r="T493" s="7"/>
      <c r="U493" s="7"/>
      <c r="V493" s="7"/>
      <c r="W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R494" s="7"/>
      <c r="S494" s="7"/>
      <c r="T494" s="7"/>
      <c r="U494" s="7"/>
      <c r="V494" s="7"/>
      <c r="W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R495" s="7"/>
      <c r="S495" s="7"/>
      <c r="T495" s="7"/>
      <c r="U495" s="7"/>
      <c r="V495" s="7"/>
      <c r="W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R496" s="7"/>
      <c r="S496" s="7"/>
      <c r="T496" s="7"/>
      <c r="U496" s="7"/>
      <c r="V496" s="7"/>
      <c r="W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R497" s="7"/>
      <c r="S497" s="7"/>
      <c r="T497" s="7"/>
      <c r="U497" s="7"/>
      <c r="V497" s="7"/>
      <c r="W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R498" s="7"/>
      <c r="S498" s="7"/>
      <c r="T498" s="7"/>
      <c r="U498" s="7"/>
      <c r="V498" s="7"/>
      <c r="W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R499" s="7"/>
      <c r="S499" s="7"/>
      <c r="T499" s="7"/>
      <c r="U499" s="7"/>
      <c r="V499" s="7"/>
      <c r="W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R500" s="7"/>
      <c r="S500" s="7"/>
      <c r="T500" s="7"/>
      <c r="U500" s="7"/>
      <c r="V500" s="7"/>
      <c r="W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R501" s="7"/>
      <c r="S501" s="7"/>
      <c r="T501" s="7"/>
      <c r="U501" s="7"/>
      <c r="V501" s="7"/>
      <c r="W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R502" s="7"/>
      <c r="S502" s="7"/>
      <c r="T502" s="7"/>
      <c r="U502" s="7"/>
      <c r="V502" s="7"/>
      <c r="W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R503" s="7"/>
      <c r="S503" s="7"/>
      <c r="T503" s="7"/>
      <c r="U503" s="7"/>
      <c r="V503" s="7"/>
      <c r="W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R504" s="7"/>
      <c r="S504" s="7"/>
      <c r="T504" s="7"/>
      <c r="U504" s="7"/>
      <c r="V504" s="7"/>
      <c r="W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R505" s="7"/>
      <c r="S505" s="7"/>
      <c r="T505" s="7"/>
      <c r="U505" s="7"/>
      <c r="V505" s="7"/>
      <c r="W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R506" s="7"/>
      <c r="S506" s="7"/>
      <c r="T506" s="7"/>
      <c r="U506" s="7"/>
      <c r="V506" s="7"/>
      <c r="W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R507" s="7"/>
      <c r="S507" s="7"/>
      <c r="T507" s="7"/>
      <c r="U507" s="7"/>
      <c r="V507" s="7"/>
      <c r="W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R508" s="7"/>
      <c r="S508" s="7"/>
      <c r="T508" s="7"/>
      <c r="U508" s="7"/>
      <c r="V508" s="7"/>
      <c r="W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R509" s="7"/>
      <c r="S509" s="7"/>
      <c r="T509" s="7"/>
      <c r="U509" s="7"/>
      <c r="V509" s="7"/>
      <c r="W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R510" s="7"/>
      <c r="S510" s="7"/>
      <c r="T510" s="7"/>
      <c r="U510" s="7"/>
      <c r="V510" s="7"/>
      <c r="W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R511" s="7"/>
      <c r="S511" s="7"/>
      <c r="T511" s="7"/>
      <c r="U511" s="7"/>
      <c r="V511" s="7"/>
      <c r="W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R512" s="7"/>
      <c r="S512" s="7"/>
      <c r="T512" s="7"/>
      <c r="U512" s="7"/>
      <c r="V512" s="7"/>
      <c r="W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R513" s="7"/>
      <c r="S513" s="7"/>
      <c r="T513" s="7"/>
      <c r="U513" s="7"/>
      <c r="V513" s="7"/>
      <c r="W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R514" s="7"/>
      <c r="S514" s="7"/>
      <c r="T514" s="7"/>
      <c r="U514" s="7"/>
      <c r="V514" s="7"/>
      <c r="W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R515" s="7"/>
      <c r="S515" s="7"/>
      <c r="T515" s="7"/>
      <c r="U515" s="7"/>
      <c r="V515" s="7"/>
      <c r="W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R516" s="7"/>
      <c r="S516" s="7"/>
      <c r="T516" s="7"/>
      <c r="U516" s="7"/>
      <c r="V516" s="7"/>
      <c r="W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R517" s="7"/>
      <c r="S517" s="7"/>
      <c r="T517" s="7"/>
      <c r="U517" s="7"/>
      <c r="V517" s="7"/>
      <c r="W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R518" s="7"/>
      <c r="S518" s="7"/>
      <c r="T518" s="7"/>
      <c r="U518" s="7"/>
      <c r="V518" s="7"/>
      <c r="W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R519" s="7"/>
      <c r="S519" s="7"/>
      <c r="T519" s="7"/>
      <c r="U519" s="7"/>
      <c r="V519" s="7"/>
      <c r="W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R520" s="7"/>
      <c r="S520" s="7"/>
      <c r="T520" s="7"/>
      <c r="U520" s="7"/>
      <c r="V520" s="7"/>
      <c r="W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R521" s="7"/>
      <c r="S521" s="7"/>
      <c r="T521" s="7"/>
      <c r="U521" s="7"/>
      <c r="V521" s="7"/>
      <c r="W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R522" s="7"/>
      <c r="S522" s="7"/>
      <c r="T522" s="7"/>
      <c r="U522" s="7"/>
      <c r="V522" s="7"/>
      <c r="W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R523" s="7"/>
      <c r="S523" s="7"/>
      <c r="T523" s="7"/>
      <c r="U523" s="7"/>
      <c r="V523" s="7"/>
      <c r="W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R524" s="7"/>
      <c r="S524" s="7"/>
      <c r="T524" s="7"/>
      <c r="U524" s="7"/>
      <c r="V524" s="7"/>
      <c r="W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R525" s="7"/>
      <c r="S525" s="7"/>
      <c r="T525" s="7"/>
      <c r="U525" s="7"/>
      <c r="V525" s="7"/>
      <c r="W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R526" s="7"/>
      <c r="S526" s="7"/>
      <c r="T526" s="7"/>
      <c r="U526" s="7"/>
      <c r="V526" s="7"/>
      <c r="W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R527" s="7"/>
      <c r="S527" s="7"/>
      <c r="T527" s="7"/>
      <c r="U527" s="7"/>
      <c r="V527" s="7"/>
      <c r="W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R528" s="7"/>
      <c r="S528" s="7"/>
      <c r="T528" s="7"/>
      <c r="U528" s="7"/>
      <c r="V528" s="7"/>
      <c r="W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R529" s="7"/>
      <c r="S529" s="7"/>
      <c r="T529" s="7"/>
      <c r="U529" s="7"/>
      <c r="V529" s="7"/>
      <c r="W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R530" s="7"/>
      <c r="S530" s="7"/>
      <c r="T530" s="7"/>
      <c r="U530" s="7"/>
      <c r="V530" s="7"/>
      <c r="W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R531" s="7"/>
      <c r="S531" s="7"/>
      <c r="T531" s="7"/>
      <c r="U531" s="7"/>
      <c r="V531" s="7"/>
      <c r="W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R532" s="7"/>
      <c r="S532" s="7"/>
      <c r="T532" s="7"/>
      <c r="U532" s="7"/>
      <c r="V532" s="7"/>
      <c r="W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R533" s="7"/>
      <c r="S533" s="7"/>
      <c r="T533" s="7"/>
      <c r="U533" s="7"/>
      <c r="V533" s="7"/>
      <c r="W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R534" s="7"/>
      <c r="S534" s="7"/>
      <c r="T534" s="7"/>
      <c r="U534" s="7"/>
      <c r="V534" s="7"/>
      <c r="W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R535" s="7"/>
      <c r="S535" s="7"/>
      <c r="T535" s="7"/>
      <c r="U535" s="7"/>
      <c r="V535" s="7"/>
      <c r="W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R536" s="7"/>
      <c r="S536" s="7"/>
      <c r="T536" s="7"/>
      <c r="U536" s="7"/>
      <c r="V536" s="7"/>
      <c r="W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R537" s="7"/>
      <c r="S537" s="7"/>
      <c r="T537" s="7"/>
      <c r="U537" s="7"/>
      <c r="V537" s="7"/>
      <c r="W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R538" s="7"/>
      <c r="S538" s="7"/>
      <c r="T538" s="7"/>
      <c r="U538" s="7"/>
      <c r="V538" s="7"/>
      <c r="W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R539" s="7"/>
      <c r="S539" s="7"/>
      <c r="T539" s="7"/>
      <c r="U539" s="7"/>
      <c r="V539" s="7"/>
      <c r="W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R540" s="7"/>
      <c r="S540" s="7"/>
      <c r="T540" s="7"/>
      <c r="U540" s="7"/>
      <c r="V540" s="7"/>
      <c r="W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R541" s="7"/>
      <c r="S541" s="7"/>
      <c r="T541" s="7"/>
      <c r="U541" s="7"/>
      <c r="V541" s="7"/>
      <c r="W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R542" s="7"/>
      <c r="S542" s="7"/>
      <c r="T542" s="7"/>
      <c r="U542" s="7"/>
      <c r="V542" s="7"/>
      <c r="W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R543" s="7"/>
      <c r="S543" s="7"/>
      <c r="T543" s="7"/>
      <c r="U543" s="7"/>
      <c r="V543" s="7"/>
      <c r="W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R544" s="7"/>
      <c r="S544" s="7"/>
      <c r="T544" s="7"/>
      <c r="U544" s="7"/>
      <c r="V544" s="7"/>
      <c r="W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R545" s="7"/>
      <c r="S545" s="7"/>
      <c r="T545" s="7"/>
      <c r="U545" s="7"/>
      <c r="V545" s="7"/>
      <c r="W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R546" s="7"/>
      <c r="S546" s="7"/>
      <c r="T546" s="7"/>
      <c r="U546" s="7"/>
      <c r="V546" s="7"/>
      <c r="W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R547" s="7"/>
      <c r="S547" s="7"/>
      <c r="T547" s="7"/>
      <c r="U547" s="7"/>
      <c r="V547" s="7"/>
      <c r="W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R548" s="7"/>
      <c r="S548" s="7"/>
      <c r="T548" s="7"/>
      <c r="U548" s="7"/>
      <c r="V548" s="7"/>
      <c r="W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R549" s="7"/>
      <c r="S549" s="7"/>
      <c r="T549" s="7"/>
      <c r="U549" s="7"/>
      <c r="V549" s="7"/>
      <c r="W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R550" s="7"/>
      <c r="S550" s="7"/>
      <c r="T550" s="7"/>
      <c r="U550" s="7"/>
      <c r="V550" s="7"/>
      <c r="W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R551" s="7"/>
      <c r="S551" s="7"/>
      <c r="T551" s="7"/>
      <c r="U551" s="7"/>
      <c r="V551" s="7"/>
      <c r="W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R552" s="7"/>
      <c r="S552" s="7"/>
      <c r="T552" s="7"/>
      <c r="U552" s="7"/>
      <c r="V552" s="7"/>
      <c r="W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R553" s="7"/>
      <c r="S553" s="7"/>
      <c r="T553" s="7"/>
      <c r="U553" s="7"/>
      <c r="V553" s="7"/>
      <c r="W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R554" s="7"/>
      <c r="S554" s="7"/>
      <c r="T554" s="7"/>
      <c r="U554" s="7"/>
      <c r="V554" s="7"/>
      <c r="W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R555" s="7"/>
      <c r="S555" s="7"/>
      <c r="T555" s="7"/>
      <c r="U555" s="7"/>
      <c r="V555" s="7"/>
      <c r="W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R556" s="7"/>
      <c r="S556" s="7"/>
      <c r="T556" s="7"/>
      <c r="U556" s="7"/>
      <c r="V556" s="7"/>
      <c r="W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R557" s="7"/>
      <c r="S557" s="7"/>
      <c r="T557" s="7"/>
      <c r="U557" s="7"/>
      <c r="V557" s="7"/>
      <c r="W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R558" s="7"/>
      <c r="S558" s="7"/>
      <c r="T558" s="7"/>
      <c r="U558" s="7"/>
      <c r="V558" s="7"/>
      <c r="W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R559" s="7"/>
      <c r="S559" s="7"/>
      <c r="T559" s="7"/>
      <c r="U559" s="7"/>
      <c r="V559" s="7"/>
      <c r="W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R560" s="7"/>
      <c r="S560" s="7"/>
      <c r="T560" s="7"/>
      <c r="U560" s="7"/>
      <c r="V560" s="7"/>
      <c r="W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R561" s="7"/>
      <c r="S561" s="7"/>
      <c r="T561" s="7"/>
      <c r="U561" s="7"/>
      <c r="V561" s="7"/>
      <c r="W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R562" s="7"/>
      <c r="S562" s="7"/>
      <c r="T562" s="7"/>
      <c r="U562" s="7"/>
      <c r="V562" s="7"/>
      <c r="W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R563" s="7"/>
      <c r="S563" s="7"/>
      <c r="T563" s="7"/>
      <c r="U563" s="7"/>
      <c r="V563" s="7"/>
      <c r="W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R564" s="7"/>
      <c r="S564" s="7"/>
      <c r="T564" s="7"/>
      <c r="U564" s="7"/>
      <c r="V564" s="7"/>
      <c r="W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R565" s="7"/>
      <c r="S565" s="7"/>
      <c r="T565" s="7"/>
      <c r="U565" s="7"/>
      <c r="V565" s="7"/>
      <c r="W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R566" s="7"/>
      <c r="S566" s="7"/>
      <c r="T566" s="7"/>
      <c r="U566" s="7"/>
      <c r="V566" s="7"/>
      <c r="W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R567" s="7"/>
      <c r="S567" s="7"/>
      <c r="T567" s="7"/>
      <c r="U567" s="7"/>
      <c r="V567" s="7"/>
      <c r="W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R568" s="7"/>
      <c r="S568" s="7"/>
      <c r="T568" s="7"/>
      <c r="U568" s="7"/>
      <c r="V568" s="7"/>
      <c r="W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R569" s="7"/>
      <c r="S569" s="7"/>
      <c r="T569" s="7"/>
      <c r="U569" s="7"/>
      <c r="V569" s="7"/>
      <c r="W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R570" s="7"/>
      <c r="S570" s="7"/>
      <c r="T570" s="7"/>
      <c r="U570" s="7"/>
      <c r="V570" s="7"/>
      <c r="W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R571" s="7"/>
      <c r="S571" s="7"/>
      <c r="T571" s="7"/>
      <c r="U571" s="7"/>
      <c r="V571" s="7"/>
      <c r="W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R572" s="7"/>
      <c r="S572" s="7"/>
      <c r="T572" s="7"/>
      <c r="U572" s="7"/>
      <c r="V572" s="7"/>
      <c r="W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R573" s="7"/>
      <c r="S573" s="7"/>
      <c r="T573" s="7"/>
      <c r="U573" s="7"/>
      <c r="V573" s="7"/>
      <c r="W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R574" s="7"/>
      <c r="S574" s="7"/>
      <c r="T574" s="7"/>
      <c r="U574" s="7"/>
      <c r="V574" s="7"/>
      <c r="W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R575" s="7"/>
      <c r="S575" s="7"/>
      <c r="T575" s="7"/>
      <c r="U575" s="7"/>
      <c r="V575" s="7"/>
      <c r="W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R576" s="7"/>
      <c r="S576" s="7"/>
      <c r="T576" s="7"/>
      <c r="U576" s="7"/>
      <c r="V576" s="7"/>
      <c r="W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R577" s="7"/>
      <c r="S577" s="7"/>
      <c r="T577" s="7"/>
      <c r="U577" s="7"/>
      <c r="V577" s="7"/>
      <c r="W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R578" s="7"/>
      <c r="S578" s="7"/>
      <c r="T578" s="7"/>
      <c r="U578" s="7"/>
      <c r="V578" s="7"/>
      <c r="W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R579" s="7"/>
      <c r="S579" s="7"/>
      <c r="T579" s="7"/>
      <c r="U579" s="7"/>
      <c r="V579" s="7"/>
      <c r="W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R580" s="7"/>
      <c r="S580" s="7"/>
      <c r="T580" s="7"/>
      <c r="U580" s="7"/>
      <c r="V580" s="7"/>
      <c r="W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R581" s="7"/>
      <c r="S581" s="7"/>
      <c r="T581" s="7"/>
      <c r="U581" s="7"/>
      <c r="V581" s="7"/>
      <c r="W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R582" s="7"/>
      <c r="S582" s="7"/>
      <c r="T582" s="7"/>
      <c r="U582" s="7"/>
      <c r="V582" s="7"/>
      <c r="W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R583" s="7"/>
      <c r="S583" s="7"/>
      <c r="T583" s="7"/>
      <c r="U583" s="7"/>
      <c r="V583" s="7"/>
      <c r="W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R584" s="7"/>
      <c r="S584" s="7"/>
      <c r="T584" s="7"/>
      <c r="U584" s="7"/>
      <c r="V584" s="7"/>
      <c r="W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R585" s="7"/>
      <c r="S585" s="7"/>
      <c r="T585" s="7"/>
      <c r="U585" s="7"/>
      <c r="V585" s="7"/>
      <c r="W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R586" s="7"/>
      <c r="S586" s="7"/>
      <c r="T586" s="7"/>
      <c r="U586" s="7"/>
      <c r="V586" s="7"/>
      <c r="W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R587" s="7"/>
      <c r="S587" s="7"/>
      <c r="T587" s="7"/>
      <c r="U587" s="7"/>
      <c r="V587" s="7"/>
      <c r="W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R588" s="7"/>
      <c r="S588" s="7"/>
      <c r="T588" s="7"/>
      <c r="U588" s="7"/>
      <c r="V588" s="7"/>
      <c r="W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R589" s="7"/>
      <c r="S589" s="7"/>
      <c r="T589" s="7"/>
      <c r="U589" s="7"/>
      <c r="V589" s="7"/>
      <c r="W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R590" s="7"/>
      <c r="S590" s="7"/>
      <c r="T590" s="7"/>
      <c r="U590" s="7"/>
      <c r="V590" s="7"/>
      <c r="W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R591" s="7"/>
      <c r="S591" s="7"/>
      <c r="T591" s="7"/>
      <c r="U591" s="7"/>
      <c r="V591" s="7"/>
      <c r="W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R592" s="7"/>
      <c r="S592" s="7"/>
      <c r="T592" s="7"/>
      <c r="U592" s="7"/>
      <c r="V592" s="7"/>
      <c r="W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R593" s="7"/>
      <c r="S593" s="7"/>
      <c r="T593" s="7"/>
      <c r="U593" s="7"/>
      <c r="V593" s="7"/>
      <c r="W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R594" s="7"/>
      <c r="S594" s="7"/>
      <c r="T594" s="7"/>
      <c r="U594" s="7"/>
      <c r="V594" s="7"/>
      <c r="W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R595" s="7"/>
      <c r="S595" s="7"/>
      <c r="T595" s="7"/>
      <c r="U595" s="7"/>
      <c r="V595" s="7"/>
      <c r="W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R596" s="7"/>
      <c r="S596" s="7"/>
      <c r="T596" s="7"/>
      <c r="U596" s="7"/>
      <c r="V596" s="7"/>
      <c r="W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R597" s="7"/>
      <c r="S597" s="7"/>
      <c r="T597" s="7"/>
      <c r="U597" s="7"/>
      <c r="V597" s="7"/>
      <c r="W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R598" s="7"/>
      <c r="S598" s="7"/>
      <c r="T598" s="7"/>
      <c r="U598" s="7"/>
      <c r="V598" s="7"/>
      <c r="W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R599" s="7"/>
      <c r="S599" s="7"/>
      <c r="T599" s="7"/>
      <c r="U599" s="7"/>
      <c r="V599" s="7"/>
      <c r="W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R600" s="7"/>
      <c r="S600" s="7"/>
      <c r="T600" s="7"/>
      <c r="U600" s="7"/>
      <c r="V600" s="7"/>
      <c r="W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R601" s="7"/>
      <c r="S601" s="7"/>
      <c r="T601" s="7"/>
      <c r="U601" s="7"/>
      <c r="V601" s="7"/>
      <c r="W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R602" s="7"/>
      <c r="S602" s="7"/>
      <c r="T602" s="7"/>
      <c r="U602" s="7"/>
      <c r="V602" s="7"/>
      <c r="W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R603" s="7"/>
      <c r="S603" s="7"/>
      <c r="T603" s="7"/>
      <c r="U603" s="7"/>
      <c r="V603" s="7"/>
      <c r="W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R604" s="7"/>
      <c r="S604" s="7"/>
      <c r="T604" s="7"/>
      <c r="U604" s="7"/>
      <c r="V604" s="7"/>
      <c r="W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R605" s="7"/>
      <c r="S605" s="7"/>
      <c r="T605" s="7"/>
      <c r="U605" s="7"/>
      <c r="V605" s="7"/>
      <c r="W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R606" s="7"/>
      <c r="S606" s="7"/>
      <c r="T606" s="7"/>
      <c r="U606" s="7"/>
      <c r="V606" s="7"/>
      <c r="W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R607" s="7"/>
      <c r="S607" s="7"/>
      <c r="T607" s="7"/>
      <c r="U607" s="7"/>
      <c r="V607" s="7"/>
      <c r="W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R608" s="7"/>
      <c r="S608" s="7"/>
      <c r="T608" s="7"/>
      <c r="U608" s="7"/>
      <c r="V608" s="7"/>
      <c r="W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R609" s="7"/>
      <c r="S609" s="7"/>
      <c r="T609" s="7"/>
      <c r="U609" s="7"/>
      <c r="V609" s="7"/>
      <c r="W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R610" s="7"/>
      <c r="S610" s="7"/>
      <c r="T610" s="7"/>
      <c r="U610" s="7"/>
      <c r="V610" s="7"/>
      <c r="W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R611" s="7"/>
      <c r="S611" s="7"/>
      <c r="T611" s="7"/>
      <c r="U611" s="7"/>
      <c r="V611" s="7"/>
      <c r="W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R612" s="7"/>
      <c r="S612" s="7"/>
      <c r="T612" s="7"/>
      <c r="U612" s="7"/>
      <c r="V612" s="7"/>
      <c r="W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R613" s="7"/>
      <c r="S613" s="7"/>
      <c r="T613" s="7"/>
      <c r="U613" s="7"/>
      <c r="V613" s="7"/>
      <c r="W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R614" s="7"/>
      <c r="S614" s="7"/>
      <c r="T614" s="7"/>
      <c r="U614" s="7"/>
      <c r="V614" s="7"/>
      <c r="W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R615" s="7"/>
      <c r="S615" s="7"/>
      <c r="T615" s="7"/>
      <c r="U615" s="7"/>
      <c r="V615" s="7"/>
      <c r="W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R616" s="7"/>
      <c r="S616" s="7"/>
      <c r="T616" s="7"/>
      <c r="U616" s="7"/>
      <c r="V616" s="7"/>
      <c r="W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R617" s="7"/>
      <c r="S617" s="7"/>
      <c r="T617" s="7"/>
      <c r="U617" s="7"/>
      <c r="V617" s="7"/>
      <c r="W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R618" s="7"/>
      <c r="S618" s="7"/>
      <c r="T618" s="7"/>
      <c r="U618" s="7"/>
      <c r="V618" s="7"/>
      <c r="W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R619" s="7"/>
      <c r="S619" s="7"/>
      <c r="T619" s="7"/>
      <c r="U619" s="7"/>
      <c r="V619" s="7"/>
      <c r="W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R620" s="7"/>
      <c r="S620" s="7"/>
      <c r="T620" s="7"/>
      <c r="U620" s="7"/>
      <c r="V620" s="7"/>
      <c r="W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R621" s="7"/>
      <c r="S621" s="7"/>
      <c r="T621" s="7"/>
      <c r="U621" s="7"/>
      <c r="V621" s="7"/>
      <c r="W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R622" s="7"/>
      <c r="S622" s="7"/>
      <c r="T622" s="7"/>
      <c r="U622" s="7"/>
      <c r="V622" s="7"/>
      <c r="W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R623" s="7"/>
      <c r="S623" s="7"/>
      <c r="T623" s="7"/>
      <c r="U623" s="7"/>
      <c r="V623" s="7"/>
      <c r="W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R624" s="7"/>
      <c r="S624" s="7"/>
      <c r="T624" s="7"/>
      <c r="U624" s="7"/>
      <c r="V624" s="7"/>
      <c r="W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R625" s="7"/>
      <c r="S625" s="7"/>
      <c r="T625" s="7"/>
      <c r="U625" s="7"/>
      <c r="V625" s="7"/>
      <c r="W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R626" s="7"/>
      <c r="S626" s="7"/>
      <c r="T626" s="7"/>
      <c r="U626" s="7"/>
      <c r="V626" s="7"/>
      <c r="W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R627" s="7"/>
      <c r="S627" s="7"/>
      <c r="T627" s="7"/>
      <c r="U627" s="7"/>
      <c r="V627" s="7"/>
      <c r="W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R628" s="7"/>
      <c r="S628" s="7"/>
      <c r="T628" s="7"/>
      <c r="U628" s="7"/>
      <c r="V628" s="7"/>
      <c r="W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R629" s="7"/>
      <c r="S629" s="7"/>
      <c r="T629" s="7"/>
      <c r="U629" s="7"/>
      <c r="V629" s="7"/>
      <c r="W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R630" s="7"/>
      <c r="S630" s="7"/>
      <c r="T630" s="7"/>
      <c r="U630" s="7"/>
      <c r="V630" s="7"/>
      <c r="W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R631" s="7"/>
      <c r="S631" s="7"/>
      <c r="T631" s="7"/>
      <c r="U631" s="7"/>
      <c r="V631" s="7"/>
      <c r="W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R632" s="7"/>
      <c r="S632" s="7"/>
      <c r="T632" s="7"/>
      <c r="U632" s="7"/>
      <c r="V632" s="7"/>
      <c r="W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R633" s="7"/>
      <c r="S633" s="7"/>
      <c r="T633" s="7"/>
      <c r="U633" s="7"/>
      <c r="V633" s="7"/>
      <c r="W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R634" s="7"/>
      <c r="S634" s="7"/>
      <c r="T634" s="7"/>
      <c r="U634" s="7"/>
      <c r="V634" s="7"/>
      <c r="W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R635" s="7"/>
      <c r="S635" s="7"/>
      <c r="T635" s="7"/>
      <c r="U635" s="7"/>
      <c r="V635" s="7"/>
      <c r="W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R636" s="7"/>
      <c r="S636" s="7"/>
      <c r="T636" s="7"/>
      <c r="U636" s="7"/>
      <c r="V636" s="7"/>
      <c r="W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R637" s="7"/>
      <c r="S637" s="7"/>
      <c r="T637" s="7"/>
      <c r="U637" s="7"/>
      <c r="V637" s="7"/>
      <c r="W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R638" s="7"/>
      <c r="S638" s="7"/>
      <c r="T638" s="7"/>
      <c r="U638" s="7"/>
      <c r="V638" s="7"/>
      <c r="W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R639" s="7"/>
      <c r="S639" s="7"/>
      <c r="T639" s="7"/>
      <c r="U639" s="7"/>
      <c r="V639" s="7"/>
      <c r="W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R640" s="7"/>
      <c r="S640" s="7"/>
      <c r="T640" s="7"/>
      <c r="U640" s="7"/>
      <c r="V640" s="7"/>
      <c r="W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R641" s="7"/>
      <c r="S641" s="7"/>
      <c r="T641" s="7"/>
      <c r="U641" s="7"/>
      <c r="V641" s="7"/>
      <c r="W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R642" s="7"/>
      <c r="S642" s="7"/>
      <c r="T642" s="7"/>
      <c r="U642" s="7"/>
      <c r="V642" s="7"/>
      <c r="W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R643" s="7"/>
      <c r="S643" s="7"/>
      <c r="T643" s="7"/>
      <c r="U643" s="7"/>
      <c r="V643" s="7"/>
      <c r="W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R644" s="7"/>
      <c r="S644" s="7"/>
      <c r="T644" s="7"/>
      <c r="U644" s="7"/>
      <c r="V644" s="7"/>
      <c r="W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R645" s="7"/>
      <c r="S645" s="7"/>
      <c r="T645" s="7"/>
      <c r="U645" s="7"/>
      <c r="V645" s="7"/>
      <c r="W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R646" s="7"/>
      <c r="S646" s="7"/>
      <c r="T646" s="7"/>
      <c r="U646" s="7"/>
      <c r="V646" s="7"/>
      <c r="W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R647" s="7"/>
      <c r="S647" s="7"/>
      <c r="T647" s="7"/>
      <c r="U647" s="7"/>
      <c r="V647" s="7"/>
      <c r="W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R648" s="7"/>
      <c r="S648" s="7"/>
      <c r="T648" s="7"/>
      <c r="U648" s="7"/>
      <c r="V648" s="7"/>
      <c r="W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R649" s="7"/>
      <c r="S649" s="7"/>
      <c r="T649" s="7"/>
      <c r="U649" s="7"/>
      <c r="V649" s="7"/>
      <c r="W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R650" s="7"/>
      <c r="S650" s="7"/>
      <c r="T650" s="7"/>
      <c r="U650" s="7"/>
      <c r="V650" s="7"/>
      <c r="W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R651" s="7"/>
      <c r="S651" s="7"/>
      <c r="T651" s="7"/>
      <c r="U651" s="7"/>
      <c r="V651" s="7"/>
      <c r="W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R652" s="7"/>
      <c r="S652" s="7"/>
      <c r="T652" s="7"/>
      <c r="U652" s="7"/>
      <c r="V652" s="7"/>
      <c r="W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R653" s="7"/>
      <c r="S653" s="7"/>
      <c r="T653" s="7"/>
      <c r="U653" s="7"/>
      <c r="V653" s="7"/>
      <c r="W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R654" s="7"/>
      <c r="S654" s="7"/>
      <c r="T654" s="7"/>
      <c r="U654" s="7"/>
      <c r="V654" s="7"/>
      <c r="W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R655" s="7"/>
      <c r="S655" s="7"/>
      <c r="T655" s="7"/>
      <c r="U655" s="7"/>
      <c r="V655" s="7"/>
      <c r="W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R656" s="7"/>
      <c r="S656" s="7"/>
      <c r="T656" s="7"/>
      <c r="U656" s="7"/>
      <c r="V656" s="7"/>
      <c r="W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R657" s="7"/>
      <c r="S657" s="7"/>
      <c r="T657" s="7"/>
      <c r="U657" s="7"/>
      <c r="V657" s="7"/>
      <c r="W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R658" s="7"/>
      <c r="S658" s="7"/>
      <c r="T658" s="7"/>
      <c r="U658" s="7"/>
      <c r="V658" s="7"/>
      <c r="W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R659" s="7"/>
      <c r="S659" s="7"/>
      <c r="T659" s="7"/>
      <c r="U659" s="7"/>
      <c r="V659" s="7"/>
      <c r="W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R660" s="7"/>
      <c r="S660" s="7"/>
      <c r="T660" s="7"/>
      <c r="U660" s="7"/>
      <c r="V660" s="7"/>
      <c r="W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R661" s="7"/>
      <c r="S661" s="7"/>
      <c r="T661" s="7"/>
      <c r="U661" s="7"/>
      <c r="V661" s="7"/>
      <c r="W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R662" s="7"/>
      <c r="S662" s="7"/>
      <c r="T662" s="7"/>
      <c r="U662" s="7"/>
      <c r="V662" s="7"/>
      <c r="W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R663" s="7"/>
      <c r="S663" s="7"/>
      <c r="T663" s="7"/>
      <c r="U663" s="7"/>
      <c r="V663" s="7"/>
      <c r="W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R664" s="7"/>
      <c r="S664" s="7"/>
      <c r="T664" s="7"/>
      <c r="U664" s="7"/>
      <c r="V664" s="7"/>
      <c r="W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R665" s="7"/>
      <c r="S665" s="7"/>
      <c r="T665" s="7"/>
      <c r="U665" s="7"/>
      <c r="V665" s="7"/>
      <c r="W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R666" s="7"/>
      <c r="S666" s="7"/>
      <c r="T666" s="7"/>
      <c r="U666" s="7"/>
      <c r="V666" s="7"/>
      <c r="W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R667" s="7"/>
      <c r="S667" s="7"/>
      <c r="T667" s="7"/>
      <c r="U667" s="7"/>
      <c r="V667" s="7"/>
      <c r="W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R668" s="7"/>
      <c r="S668" s="7"/>
      <c r="T668" s="7"/>
      <c r="U668" s="7"/>
      <c r="V668" s="7"/>
      <c r="W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R669" s="7"/>
      <c r="S669" s="7"/>
      <c r="T669" s="7"/>
      <c r="U669" s="7"/>
      <c r="V669" s="7"/>
      <c r="W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R670" s="7"/>
      <c r="S670" s="7"/>
      <c r="T670" s="7"/>
      <c r="U670" s="7"/>
      <c r="V670" s="7"/>
      <c r="W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R671" s="7"/>
      <c r="S671" s="7"/>
      <c r="T671" s="7"/>
      <c r="U671" s="7"/>
      <c r="V671" s="7"/>
      <c r="W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R672" s="7"/>
      <c r="S672" s="7"/>
      <c r="T672" s="7"/>
      <c r="U672" s="7"/>
      <c r="V672" s="7"/>
      <c r="W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R673" s="7"/>
      <c r="S673" s="7"/>
      <c r="T673" s="7"/>
      <c r="U673" s="7"/>
      <c r="V673" s="7"/>
      <c r="W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R674" s="7"/>
      <c r="S674" s="7"/>
      <c r="T674" s="7"/>
      <c r="U674" s="7"/>
      <c r="V674" s="7"/>
      <c r="W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R675" s="7"/>
      <c r="S675" s="7"/>
      <c r="T675" s="7"/>
      <c r="U675" s="7"/>
      <c r="V675" s="7"/>
      <c r="W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R676" s="7"/>
      <c r="S676" s="7"/>
      <c r="T676" s="7"/>
      <c r="U676" s="7"/>
      <c r="V676" s="7"/>
      <c r="W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R677" s="7"/>
      <c r="S677" s="7"/>
      <c r="T677" s="7"/>
      <c r="U677" s="7"/>
      <c r="V677" s="7"/>
      <c r="W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R678" s="7"/>
      <c r="S678" s="7"/>
      <c r="T678" s="7"/>
      <c r="U678" s="7"/>
      <c r="V678" s="7"/>
      <c r="W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R679" s="7"/>
      <c r="S679" s="7"/>
      <c r="T679" s="7"/>
      <c r="U679" s="7"/>
      <c r="V679" s="7"/>
      <c r="W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R680" s="7"/>
      <c r="S680" s="7"/>
      <c r="T680" s="7"/>
      <c r="U680" s="7"/>
      <c r="V680" s="7"/>
      <c r="W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R681" s="7"/>
      <c r="S681" s="7"/>
      <c r="T681" s="7"/>
      <c r="U681" s="7"/>
      <c r="V681" s="7"/>
      <c r="W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R682" s="7"/>
      <c r="S682" s="7"/>
      <c r="T682" s="7"/>
      <c r="U682" s="7"/>
      <c r="V682" s="7"/>
      <c r="W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R683" s="7"/>
      <c r="S683" s="7"/>
      <c r="T683" s="7"/>
      <c r="U683" s="7"/>
      <c r="V683" s="7"/>
      <c r="W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R684" s="7"/>
      <c r="S684" s="7"/>
      <c r="T684" s="7"/>
      <c r="U684" s="7"/>
      <c r="V684" s="7"/>
      <c r="W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R685" s="7"/>
      <c r="S685" s="7"/>
      <c r="T685" s="7"/>
      <c r="U685" s="7"/>
      <c r="V685" s="7"/>
      <c r="W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R686" s="7"/>
      <c r="S686" s="7"/>
      <c r="T686" s="7"/>
      <c r="U686" s="7"/>
      <c r="V686" s="7"/>
      <c r="W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R687" s="7"/>
      <c r="S687" s="7"/>
      <c r="T687" s="7"/>
      <c r="U687" s="7"/>
      <c r="V687" s="7"/>
      <c r="W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R688" s="7"/>
      <c r="S688" s="7"/>
      <c r="T688" s="7"/>
      <c r="U688" s="7"/>
      <c r="V688" s="7"/>
      <c r="W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R689" s="7"/>
      <c r="S689" s="7"/>
      <c r="T689" s="7"/>
      <c r="U689" s="7"/>
      <c r="V689" s="7"/>
      <c r="W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R690" s="7"/>
      <c r="S690" s="7"/>
      <c r="T690" s="7"/>
      <c r="U690" s="7"/>
      <c r="V690" s="7"/>
      <c r="W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R691" s="7"/>
      <c r="S691" s="7"/>
      <c r="T691" s="7"/>
      <c r="U691" s="7"/>
      <c r="V691" s="7"/>
      <c r="W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R692" s="7"/>
      <c r="S692" s="7"/>
      <c r="T692" s="7"/>
      <c r="U692" s="7"/>
      <c r="V692" s="7"/>
      <c r="W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R693" s="7"/>
      <c r="S693" s="7"/>
      <c r="T693" s="7"/>
      <c r="U693" s="7"/>
      <c r="V693" s="7"/>
      <c r="W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R694" s="7"/>
      <c r="S694" s="7"/>
      <c r="T694" s="7"/>
      <c r="U694" s="7"/>
      <c r="V694" s="7"/>
      <c r="W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R695" s="7"/>
      <c r="S695" s="7"/>
      <c r="T695" s="7"/>
      <c r="U695" s="7"/>
      <c r="V695" s="7"/>
      <c r="W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R696" s="7"/>
      <c r="S696" s="7"/>
      <c r="T696" s="7"/>
      <c r="U696" s="7"/>
      <c r="V696" s="7"/>
      <c r="W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R697" s="7"/>
      <c r="S697" s="7"/>
      <c r="T697" s="7"/>
      <c r="U697" s="7"/>
      <c r="V697" s="7"/>
      <c r="W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R698" s="7"/>
      <c r="S698" s="7"/>
      <c r="T698" s="7"/>
      <c r="U698" s="7"/>
      <c r="V698" s="7"/>
      <c r="W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R699" s="7"/>
      <c r="S699" s="7"/>
      <c r="T699" s="7"/>
      <c r="U699" s="7"/>
      <c r="V699" s="7"/>
      <c r="W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R700" s="7"/>
      <c r="S700" s="7"/>
      <c r="T700" s="7"/>
      <c r="U700" s="7"/>
      <c r="V700" s="7"/>
      <c r="W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R701" s="7"/>
      <c r="S701" s="7"/>
      <c r="T701" s="7"/>
      <c r="U701" s="7"/>
      <c r="V701" s="7"/>
      <c r="W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R702" s="7"/>
      <c r="S702" s="7"/>
      <c r="T702" s="7"/>
      <c r="U702" s="7"/>
      <c r="V702" s="7"/>
      <c r="W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R703" s="7"/>
      <c r="S703" s="7"/>
      <c r="T703" s="7"/>
      <c r="U703" s="7"/>
      <c r="V703" s="7"/>
      <c r="W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R704" s="7"/>
      <c r="S704" s="7"/>
      <c r="T704" s="7"/>
      <c r="U704" s="7"/>
      <c r="V704" s="7"/>
      <c r="W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R705" s="7"/>
      <c r="S705" s="7"/>
      <c r="T705" s="7"/>
      <c r="U705" s="7"/>
      <c r="V705" s="7"/>
      <c r="W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R706" s="7"/>
      <c r="S706" s="7"/>
      <c r="T706" s="7"/>
      <c r="U706" s="7"/>
      <c r="V706" s="7"/>
      <c r="W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R707" s="7"/>
      <c r="S707" s="7"/>
      <c r="T707" s="7"/>
      <c r="U707" s="7"/>
      <c r="V707" s="7"/>
      <c r="W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R708" s="7"/>
      <c r="S708" s="7"/>
      <c r="T708" s="7"/>
      <c r="U708" s="7"/>
      <c r="V708" s="7"/>
      <c r="W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R709" s="7"/>
      <c r="S709" s="7"/>
      <c r="T709" s="7"/>
      <c r="U709" s="7"/>
      <c r="V709" s="7"/>
      <c r="W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R710" s="7"/>
      <c r="S710" s="7"/>
      <c r="T710" s="7"/>
      <c r="U710" s="7"/>
      <c r="V710" s="7"/>
      <c r="W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R711" s="7"/>
      <c r="S711" s="7"/>
      <c r="T711" s="7"/>
      <c r="U711" s="7"/>
      <c r="V711" s="7"/>
      <c r="W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R712" s="7"/>
      <c r="S712" s="7"/>
      <c r="T712" s="7"/>
      <c r="U712" s="7"/>
      <c r="V712" s="7"/>
      <c r="W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R713" s="7"/>
      <c r="S713" s="7"/>
      <c r="T713" s="7"/>
      <c r="U713" s="7"/>
      <c r="V713" s="7"/>
      <c r="W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R714" s="7"/>
      <c r="S714" s="7"/>
      <c r="T714" s="7"/>
      <c r="U714" s="7"/>
      <c r="V714" s="7"/>
      <c r="W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R715" s="7"/>
      <c r="S715" s="7"/>
      <c r="T715" s="7"/>
      <c r="U715" s="7"/>
      <c r="V715" s="7"/>
      <c r="W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R716" s="7"/>
      <c r="S716" s="7"/>
      <c r="T716" s="7"/>
      <c r="U716" s="7"/>
      <c r="V716" s="7"/>
      <c r="W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R717" s="7"/>
      <c r="S717" s="7"/>
      <c r="T717" s="7"/>
      <c r="U717" s="7"/>
      <c r="V717" s="7"/>
      <c r="W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R718" s="7"/>
      <c r="S718" s="7"/>
      <c r="T718" s="7"/>
      <c r="U718" s="7"/>
      <c r="V718" s="7"/>
      <c r="W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R719" s="7"/>
      <c r="S719" s="7"/>
      <c r="T719" s="7"/>
      <c r="U719" s="7"/>
      <c r="V719" s="7"/>
      <c r="W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R720" s="7"/>
      <c r="S720" s="7"/>
      <c r="T720" s="7"/>
      <c r="U720" s="7"/>
      <c r="V720" s="7"/>
      <c r="W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R721" s="7"/>
      <c r="S721" s="7"/>
      <c r="T721" s="7"/>
      <c r="U721" s="7"/>
      <c r="V721" s="7"/>
      <c r="W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R722" s="7"/>
      <c r="S722" s="7"/>
      <c r="T722" s="7"/>
      <c r="U722" s="7"/>
      <c r="V722" s="7"/>
      <c r="W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R723" s="7"/>
      <c r="S723" s="7"/>
      <c r="T723" s="7"/>
      <c r="U723" s="7"/>
      <c r="V723" s="7"/>
      <c r="W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R724" s="7"/>
      <c r="S724" s="7"/>
      <c r="T724" s="7"/>
      <c r="U724" s="7"/>
      <c r="V724" s="7"/>
      <c r="W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R725" s="7"/>
      <c r="S725" s="7"/>
      <c r="T725" s="7"/>
      <c r="U725" s="7"/>
      <c r="V725" s="7"/>
      <c r="W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R726" s="7"/>
      <c r="S726" s="7"/>
      <c r="T726" s="7"/>
      <c r="U726" s="7"/>
      <c r="V726" s="7"/>
      <c r="W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R727" s="7"/>
      <c r="S727" s="7"/>
      <c r="T727" s="7"/>
      <c r="U727" s="7"/>
      <c r="V727" s="7"/>
      <c r="W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R728" s="7"/>
      <c r="S728" s="7"/>
      <c r="T728" s="7"/>
      <c r="U728" s="7"/>
      <c r="V728" s="7"/>
      <c r="W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R729" s="7"/>
      <c r="S729" s="7"/>
      <c r="T729" s="7"/>
      <c r="U729" s="7"/>
      <c r="V729" s="7"/>
      <c r="W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R730" s="7"/>
      <c r="S730" s="7"/>
      <c r="T730" s="7"/>
      <c r="U730" s="7"/>
      <c r="V730" s="7"/>
      <c r="W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R731" s="7"/>
      <c r="S731" s="7"/>
      <c r="T731" s="7"/>
      <c r="U731" s="7"/>
      <c r="V731" s="7"/>
      <c r="W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R732" s="7"/>
      <c r="S732" s="7"/>
      <c r="T732" s="7"/>
      <c r="U732" s="7"/>
      <c r="V732" s="7"/>
      <c r="W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R733" s="7"/>
      <c r="S733" s="7"/>
      <c r="T733" s="7"/>
      <c r="U733" s="7"/>
      <c r="V733" s="7"/>
      <c r="W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R734" s="7"/>
      <c r="S734" s="7"/>
      <c r="T734" s="7"/>
      <c r="U734" s="7"/>
      <c r="V734" s="7"/>
      <c r="W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R735" s="7"/>
      <c r="S735" s="7"/>
      <c r="T735" s="7"/>
      <c r="U735" s="7"/>
      <c r="V735" s="7"/>
      <c r="W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R736" s="7"/>
      <c r="S736" s="7"/>
      <c r="T736" s="7"/>
      <c r="U736" s="7"/>
      <c r="V736" s="7"/>
      <c r="W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R737" s="7"/>
      <c r="S737" s="7"/>
      <c r="T737" s="7"/>
      <c r="U737" s="7"/>
      <c r="V737" s="7"/>
      <c r="W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R738" s="7"/>
      <c r="S738" s="7"/>
      <c r="T738" s="7"/>
      <c r="U738" s="7"/>
      <c r="V738" s="7"/>
      <c r="W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R739" s="7"/>
      <c r="S739" s="7"/>
      <c r="T739" s="7"/>
      <c r="U739" s="7"/>
      <c r="V739" s="7"/>
      <c r="W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R740" s="7"/>
      <c r="S740" s="7"/>
      <c r="T740" s="7"/>
      <c r="U740" s="7"/>
      <c r="V740" s="7"/>
      <c r="W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R741" s="7"/>
      <c r="S741" s="7"/>
      <c r="T741" s="7"/>
      <c r="U741" s="7"/>
      <c r="V741" s="7"/>
      <c r="W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R742" s="7"/>
      <c r="S742" s="7"/>
      <c r="T742" s="7"/>
      <c r="U742" s="7"/>
      <c r="V742" s="7"/>
      <c r="W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R743" s="7"/>
      <c r="S743" s="7"/>
      <c r="T743" s="7"/>
      <c r="U743" s="7"/>
      <c r="V743" s="7"/>
      <c r="W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R744" s="7"/>
      <c r="S744" s="7"/>
      <c r="T744" s="7"/>
      <c r="U744" s="7"/>
      <c r="V744" s="7"/>
      <c r="W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R745" s="7"/>
      <c r="S745" s="7"/>
      <c r="T745" s="7"/>
      <c r="U745" s="7"/>
      <c r="V745" s="7"/>
      <c r="W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R746" s="7"/>
      <c r="S746" s="7"/>
      <c r="T746" s="7"/>
      <c r="U746" s="7"/>
      <c r="V746" s="7"/>
      <c r="W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R747" s="7"/>
      <c r="S747" s="7"/>
      <c r="T747" s="7"/>
      <c r="U747" s="7"/>
      <c r="V747" s="7"/>
      <c r="W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R748" s="7"/>
      <c r="S748" s="7"/>
      <c r="T748" s="7"/>
      <c r="U748" s="7"/>
      <c r="V748" s="7"/>
      <c r="W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R749" s="7"/>
      <c r="S749" s="7"/>
      <c r="T749" s="7"/>
      <c r="U749" s="7"/>
      <c r="V749" s="7"/>
      <c r="W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R750" s="7"/>
      <c r="S750" s="7"/>
      <c r="T750" s="7"/>
      <c r="U750" s="7"/>
      <c r="V750" s="7"/>
      <c r="W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R751" s="7"/>
      <c r="S751" s="7"/>
      <c r="T751" s="7"/>
      <c r="U751" s="7"/>
      <c r="V751" s="7"/>
      <c r="W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R752" s="7"/>
      <c r="S752" s="7"/>
      <c r="T752" s="7"/>
      <c r="U752" s="7"/>
      <c r="V752" s="7"/>
      <c r="W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R753" s="7"/>
      <c r="S753" s="7"/>
      <c r="T753" s="7"/>
      <c r="U753" s="7"/>
      <c r="V753" s="7"/>
      <c r="W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R754" s="7"/>
      <c r="S754" s="7"/>
      <c r="T754" s="7"/>
      <c r="U754" s="7"/>
      <c r="V754" s="7"/>
      <c r="W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R755" s="7"/>
      <c r="S755" s="7"/>
      <c r="T755" s="7"/>
      <c r="U755" s="7"/>
      <c r="V755" s="7"/>
      <c r="W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R756" s="7"/>
      <c r="S756" s="7"/>
      <c r="T756" s="7"/>
      <c r="U756" s="7"/>
      <c r="V756" s="7"/>
      <c r="W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R757" s="7"/>
      <c r="S757" s="7"/>
      <c r="T757" s="7"/>
      <c r="U757" s="7"/>
      <c r="V757" s="7"/>
      <c r="W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R758" s="7"/>
      <c r="S758" s="7"/>
      <c r="T758" s="7"/>
      <c r="U758" s="7"/>
      <c r="V758" s="7"/>
      <c r="W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R759" s="7"/>
      <c r="S759" s="7"/>
      <c r="T759" s="7"/>
      <c r="U759" s="7"/>
      <c r="V759" s="7"/>
      <c r="W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R760" s="7"/>
      <c r="S760" s="7"/>
      <c r="T760" s="7"/>
      <c r="U760" s="7"/>
      <c r="V760" s="7"/>
      <c r="W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R761" s="7"/>
      <c r="S761" s="7"/>
      <c r="T761" s="7"/>
      <c r="U761" s="7"/>
      <c r="V761" s="7"/>
      <c r="W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R762" s="7"/>
      <c r="S762" s="7"/>
      <c r="T762" s="7"/>
      <c r="U762" s="7"/>
      <c r="V762" s="7"/>
      <c r="W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R763" s="7"/>
      <c r="S763" s="7"/>
      <c r="T763" s="7"/>
      <c r="U763" s="7"/>
      <c r="V763" s="7"/>
      <c r="W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R764" s="7"/>
      <c r="S764" s="7"/>
      <c r="T764" s="7"/>
      <c r="U764" s="7"/>
      <c r="V764" s="7"/>
      <c r="W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R765" s="7"/>
      <c r="S765" s="7"/>
      <c r="T765" s="7"/>
      <c r="U765" s="7"/>
      <c r="V765" s="7"/>
      <c r="W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R766" s="7"/>
      <c r="S766" s="7"/>
      <c r="T766" s="7"/>
      <c r="U766" s="7"/>
      <c r="V766" s="7"/>
      <c r="W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R767" s="7"/>
      <c r="S767" s="7"/>
      <c r="T767" s="7"/>
      <c r="U767" s="7"/>
      <c r="V767" s="7"/>
      <c r="W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R768" s="7"/>
      <c r="S768" s="7"/>
      <c r="T768" s="7"/>
      <c r="U768" s="7"/>
      <c r="V768" s="7"/>
      <c r="W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R769" s="7"/>
      <c r="S769" s="7"/>
      <c r="T769" s="7"/>
      <c r="U769" s="7"/>
      <c r="V769" s="7"/>
      <c r="W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R770" s="7"/>
      <c r="S770" s="7"/>
      <c r="T770" s="7"/>
      <c r="U770" s="7"/>
      <c r="V770" s="7"/>
      <c r="W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R771" s="7"/>
      <c r="S771" s="7"/>
      <c r="T771" s="7"/>
      <c r="U771" s="7"/>
      <c r="V771" s="7"/>
      <c r="W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R772" s="7"/>
      <c r="S772" s="7"/>
      <c r="T772" s="7"/>
      <c r="U772" s="7"/>
      <c r="V772" s="7"/>
      <c r="W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R773" s="7"/>
      <c r="S773" s="7"/>
      <c r="T773" s="7"/>
      <c r="U773" s="7"/>
      <c r="V773" s="7"/>
      <c r="W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R774" s="7"/>
      <c r="S774" s="7"/>
      <c r="T774" s="7"/>
      <c r="U774" s="7"/>
      <c r="V774" s="7"/>
      <c r="W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R775" s="7"/>
      <c r="S775" s="7"/>
      <c r="T775" s="7"/>
      <c r="U775" s="7"/>
      <c r="V775" s="7"/>
      <c r="W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R776" s="7"/>
      <c r="S776" s="7"/>
      <c r="T776" s="7"/>
      <c r="U776" s="7"/>
      <c r="V776" s="7"/>
      <c r="W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R777" s="7"/>
      <c r="S777" s="7"/>
      <c r="T777" s="7"/>
      <c r="U777" s="7"/>
      <c r="V777" s="7"/>
      <c r="W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R778" s="7"/>
      <c r="S778" s="7"/>
      <c r="T778" s="7"/>
      <c r="U778" s="7"/>
      <c r="V778" s="7"/>
      <c r="W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R779" s="7"/>
      <c r="S779" s="7"/>
      <c r="T779" s="7"/>
      <c r="U779" s="7"/>
      <c r="V779" s="7"/>
      <c r="W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R780" s="7"/>
      <c r="S780" s="7"/>
      <c r="T780" s="7"/>
      <c r="U780" s="7"/>
      <c r="V780" s="7"/>
      <c r="W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R781" s="7"/>
      <c r="S781" s="7"/>
      <c r="T781" s="7"/>
      <c r="U781" s="7"/>
      <c r="V781" s="7"/>
      <c r="W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R782" s="7"/>
      <c r="S782" s="7"/>
      <c r="T782" s="7"/>
      <c r="U782" s="7"/>
      <c r="V782" s="7"/>
      <c r="W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R783" s="7"/>
      <c r="S783" s="7"/>
      <c r="T783" s="7"/>
      <c r="U783" s="7"/>
      <c r="V783" s="7"/>
      <c r="W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R784" s="7"/>
      <c r="S784" s="7"/>
      <c r="T784" s="7"/>
      <c r="U784" s="7"/>
      <c r="V784" s="7"/>
      <c r="W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R785" s="7"/>
      <c r="S785" s="7"/>
      <c r="T785" s="7"/>
      <c r="U785" s="7"/>
      <c r="V785" s="7"/>
      <c r="W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R786" s="7"/>
      <c r="S786" s="7"/>
      <c r="T786" s="7"/>
      <c r="U786" s="7"/>
      <c r="V786" s="7"/>
      <c r="W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R787" s="7"/>
      <c r="S787" s="7"/>
      <c r="T787" s="7"/>
      <c r="U787" s="7"/>
      <c r="V787" s="7"/>
      <c r="W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R788" s="7"/>
      <c r="S788" s="7"/>
      <c r="T788" s="7"/>
      <c r="U788" s="7"/>
      <c r="V788" s="7"/>
      <c r="W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R789" s="7"/>
      <c r="S789" s="7"/>
      <c r="T789" s="7"/>
      <c r="U789" s="7"/>
      <c r="V789" s="7"/>
      <c r="W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R790" s="7"/>
      <c r="S790" s="7"/>
      <c r="T790" s="7"/>
      <c r="U790" s="7"/>
      <c r="V790" s="7"/>
      <c r="W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R791" s="7"/>
      <c r="S791" s="7"/>
      <c r="T791" s="7"/>
      <c r="U791" s="7"/>
      <c r="V791" s="7"/>
      <c r="W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R792" s="7"/>
      <c r="S792" s="7"/>
      <c r="T792" s="7"/>
      <c r="U792" s="7"/>
      <c r="V792" s="7"/>
      <c r="W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R793" s="7"/>
      <c r="S793" s="7"/>
      <c r="T793" s="7"/>
      <c r="U793" s="7"/>
      <c r="V793" s="7"/>
      <c r="W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R794" s="7"/>
      <c r="S794" s="7"/>
      <c r="T794" s="7"/>
      <c r="U794" s="7"/>
      <c r="V794" s="7"/>
      <c r="W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R795" s="7"/>
      <c r="S795" s="7"/>
      <c r="T795" s="7"/>
      <c r="U795" s="7"/>
      <c r="V795" s="7"/>
      <c r="W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R796" s="7"/>
      <c r="S796" s="7"/>
      <c r="T796" s="7"/>
      <c r="U796" s="7"/>
      <c r="V796" s="7"/>
      <c r="W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R797" s="7"/>
      <c r="S797" s="7"/>
      <c r="T797" s="7"/>
      <c r="U797" s="7"/>
      <c r="V797" s="7"/>
      <c r="W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R798" s="7"/>
      <c r="S798" s="7"/>
      <c r="T798" s="7"/>
      <c r="U798" s="7"/>
      <c r="V798" s="7"/>
      <c r="W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R799" s="7"/>
      <c r="S799" s="7"/>
      <c r="T799" s="7"/>
      <c r="U799" s="7"/>
      <c r="V799" s="7"/>
      <c r="W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R800" s="7"/>
      <c r="S800" s="7"/>
      <c r="T800" s="7"/>
      <c r="U800" s="7"/>
      <c r="V800" s="7"/>
      <c r="W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R801" s="7"/>
      <c r="S801" s="7"/>
      <c r="T801" s="7"/>
      <c r="U801" s="7"/>
      <c r="V801" s="7"/>
      <c r="W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R802" s="7"/>
      <c r="S802" s="7"/>
      <c r="T802" s="7"/>
      <c r="U802" s="7"/>
      <c r="V802" s="7"/>
      <c r="W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R803" s="7"/>
      <c r="S803" s="7"/>
      <c r="T803" s="7"/>
      <c r="U803" s="7"/>
      <c r="V803" s="7"/>
      <c r="W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R804" s="7"/>
      <c r="S804" s="7"/>
      <c r="T804" s="7"/>
      <c r="U804" s="7"/>
      <c r="V804" s="7"/>
      <c r="W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R805" s="7"/>
      <c r="S805" s="7"/>
      <c r="T805" s="7"/>
      <c r="U805" s="7"/>
      <c r="V805" s="7"/>
      <c r="W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R806" s="7"/>
      <c r="S806" s="7"/>
      <c r="T806" s="7"/>
      <c r="U806" s="7"/>
      <c r="V806" s="7"/>
      <c r="W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R807" s="7"/>
      <c r="S807" s="7"/>
      <c r="T807" s="7"/>
      <c r="U807" s="7"/>
      <c r="V807" s="7"/>
      <c r="W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R808" s="7"/>
      <c r="S808" s="7"/>
      <c r="T808" s="7"/>
      <c r="U808" s="7"/>
      <c r="V808" s="7"/>
      <c r="W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R809" s="7"/>
      <c r="S809" s="7"/>
      <c r="T809" s="7"/>
      <c r="U809" s="7"/>
      <c r="V809" s="7"/>
      <c r="W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R810" s="7"/>
      <c r="S810" s="7"/>
      <c r="T810" s="7"/>
      <c r="U810" s="7"/>
      <c r="V810" s="7"/>
      <c r="W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R811" s="7"/>
      <c r="S811" s="7"/>
      <c r="T811" s="7"/>
      <c r="U811" s="7"/>
      <c r="V811" s="7"/>
      <c r="W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R812" s="7"/>
      <c r="S812" s="7"/>
      <c r="T812" s="7"/>
      <c r="U812" s="7"/>
      <c r="V812" s="7"/>
      <c r="W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R813" s="7"/>
      <c r="S813" s="7"/>
      <c r="T813" s="7"/>
      <c r="U813" s="7"/>
      <c r="V813" s="7"/>
      <c r="W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R814" s="7"/>
      <c r="S814" s="7"/>
      <c r="T814" s="7"/>
      <c r="U814" s="7"/>
      <c r="V814" s="7"/>
      <c r="W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R815" s="7"/>
      <c r="S815" s="7"/>
      <c r="T815" s="7"/>
      <c r="U815" s="7"/>
      <c r="V815" s="7"/>
      <c r="W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R816" s="7"/>
      <c r="S816" s="7"/>
      <c r="T816" s="7"/>
      <c r="U816" s="7"/>
      <c r="V816" s="7"/>
      <c r="W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R817" s="7"/>
      <c r="S817" s="7"/>
      <c r="T817" s="7"/>
      <c r="U817" s="7"/>
      <c r="V817" s="7"/>
      <c r="W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R818" s="7"/>
      <c r="S818" s="7"/>
      <c r="T818" s="7"/>
      <c r="U818" s="7"/>
      <c r="V818" s="7"/>
      <c r="W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R819" s="7"/>
      <c r="S819" s="7"/>
      <c r="T819" s="7"/>
      <c r="U819" s="7"/>
      <c r="V819" s="7"/>
      <c r="W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R820" s="7"/>
      <c r="S820" s="7"/>
      <c r="T820" s="7"/>
      <c r="U820" s="7"/>
      <c r="V820" s="7"/>
      <c r="W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R821" s="7"/>
      <c r="S821" s="7"/>
      <c r="T821" s="7"/>
      <c r="U821" s="7"/>
      <c r="V821" s="7"/>
      <c r="W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R822" s="7"/>
      <c r="S822" s="7"/>
      <c r="T822" s="7"/>
      <c r="U822" s="7"/>
      <c r="V822" s="7"/>
      <c r="W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R823" s="7"/>
      <c r="S823" s="7"/>
      <c r="T823" s="7"/>
      <c r="U823" s="7"/>
      <c r="V823" s="7"/>
      <c r="W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R824" s="7"/>
      <c r="S824" s="7"/>
      <c r="T824" s="7"/>
      <c r="U824" s="7"/>
      <c r="V824" s="7"/>
      <c r="W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R825" s="7"/>
      <c r="S825" s="7"/>
      <c r="T825" s="7"/>
      <c r="U825" s="7"/>
      <c r="V825" s="7"/>
      <c r="W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R826" s="7"/>
      <c r="S826" s="7"/>
      <c r="T826" s="7"/>
      <c r="U826" s="7"/>
      <c r="V826" s="7"/>
      <c r="W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R827" s="7"/>
      <c r="S827" s="7"/>
      <c r="T827" s="7"/>
      <c r="U827" s="7"/>
      <c r="V827" s="7"/>
      <c r="W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R828" s="7"/>
      <c r="S828" s="7"/>
      <c r="T828" s="7"/>
      <c r="U828" s="7"/>
      <c r="V828" s="7"/>
      <c r="W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R829" s="7"/>
      <c r="S829" s="7"/>
      <c r="T829" s="7"/>
      <c r="U829" s="7"/>
      <c r="V829" s="7"/>
      <c r="W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R830" s="7"/>
      <c r="S830" s="7"/>
      <c r="T830" s="7"/>
      <c r="U830" s="7"/>
      <c r="V830" s="7"/>
      <c r="W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R831" s="7"/>
      <c r="S831" s="7"/>
      <c r="T831" s="7"/>
      <c r="U831" s="7"/>
      <c r="V831" s="7"/>
      <c r="W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R832" s="7"/>
      <c r="S832" s="7"/>
      <c r="T832" s="7"/>
      <c r="U832" s="7"/>
      <c r="V832" s="7"/>
      <c r="W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R833" s="7"/>
      <c r="S833" s="7"/>
      <c r="T833" s="7"/>
      <c r="U833" s="7"/>
      <c r="V833" s="7"/>
      <c r="W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R834" s="7"/>
      <c r="S834" s="7"/>
      <c r="T834" s="7"/>
      <c r="U834" s="7"/>
      <c r="V834" s="7"/>
      <c r="W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R835" s="7"/>
      <c r="S835" s="7"/>
      <c r="T835" s="7"/>
      <c r="U835" s="7"/>
      <c r="V835" s="7"/>
      <c r="W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R836" s="7"/>
      <c r="S836" s="7"/>
      <c r="T836" s="7"/>
      <c r="U836" s="7"/>
      <c r="V836" s="7"/>
      <c r="W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R837" s="7"/>
      <c r="S837" s="7"/>
      <c r="T837" s="7"/>
      <c r="U837" s="7"/>
      <c r="V837" s="7"/>
      <c r="W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R838" s="7"/>
      <c r="S838" s="7"/>
      <c r="T838" s="7"/>
      <c r="U838" s="7"/>
      <c r="V838" s="7"/>
      <c r="W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R839" s="7"/>
      <c r="S839" s="7"/>
      <c r="T839" s="7"/>
      <c r="U839" s="7"/>
      <c r="V839" s="7"/>
      <c r="W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R840" s="7"/>
      <c r="S840" s="7"/>
      <c r="T840" s="7"/>
      <c r="U840" s="7"/>
      <c r="V840" s="7"/>
      <c r="W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R841" s="7"/>
      <c r="S841" s="7"/>
      <c r="T841" s="7"/>
      <c r="U841" s="7"/>
      <c r="V841" s="7"/>
      <c r="W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R842" s="7"/>
      <c r="S842" s="7"/>
      <c r="T842" s="7"/>
      <c r="U842" s="7"/>
      <c r="V842" s="7"/>
      <c r="W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R843" s="7"/>
      <c r="S843" s="7"/>
      <c r="T843" s="7"/>
      <c r="U843" s="7"/>
      <c r="V843" s="7"/>
      <c r="W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R844" s="7"/>
      <c r="S844" s="7"/>
      <c r="T844" s="7"/>
      <c r="U844" s="7"/>
      <c r="V844" s="7"/>
      <c r="W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R845" s="7"/>
      <c r="S845" s="7"/>
      <c r="T845" s="7"/>
      <c r="U845" s="7"/>
      <c r="V845" s="7"/>
      <c r="W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R846" s="7"/>
      <c r="S846" s="7"/>
      <c r="T846" s="7"/>
      <c r="U846" s="7"/>
      <c r="V846" s="7"/>
      <c r="W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R847" s="7"/>
      <c r="S847" s="7"/>
      <c r="T847" s="7"/>
      <c r="U847" s="7"/>
      <c r="V847" s="7"/>
      <c r="W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R848" s="7"/>
      <c r="S848" s="7"/>
      <c r="T848" s="7"/>
      <c r="U848" s="7"/>
      <c r="V848" s="7"/>
      <c r="W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R849" s="7"/>
      <c r="S849" s="7"/>
      <c r="T849" s="7"/>
      <c r="U849" s="7"/>
      <c r="V849" s="7"/>
      <c r="W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R850" s="7"/>
      <c r="S850" s="7"/>
      <c r="T850" s="7"/>
      <c r="U850" s="7"/>
      <c r="V850" s="7"/>
      <c r="W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R851" s="7"/>
      <c r="S851" s="7"/>
      <c r="T851" s="7"/>
      <c r="U851" s="7"/>
      <c r="V851" s="7"/>
      <c r="W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R852" s="7"/>
      <c r="S852" s="7"/>
      <c r="T852" s="7"/>
      <c r="U852" s="7"/>
      <c r="V852" s="7"/>
      <c r="W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R853" s="7"/>
      <c r="S853" s="7"/>
      <c r="T853" s="7"/>
      <c r="U853" s="7"/>
      <c r="V853" s="7"/>
      <c r="W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R854" s="7"/>
      <c r="S854" s="7"/>
      <c r="T854" s="7"/>
      <c r="U854" s="7"/>
      <c r="V854" s="7"/>
      <c r="W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R855" s="7"/>
      <c r="S855" s="7"/>
      <c r="T855" s="7"/>
      <c r="U855" s="7"/>
      <c r="V855" s="7"/>
      <c r="W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R856" s="7"/>
      <c r="S856" s="7"/>
      <c r="T856" s="7"/>
      <c r="U856" s="7"/>
      <c r="V856" s="7"/>
      <c r="W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R857" s="7"/>
      <c r="S857" s="7"/>
      <c r="T857" s="7"/>
      <c r="U857" s="7"/>
      <c r="V857" s="7"/>
      <c r="W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R858" s="7"/>
      <c r="S858" s="7"/>
      <c r="T858" s="7"/>
      <c r="U858" s="7"/>
      <c r="V858" s="7"/>
      <c r="W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R859" s="7"/>
      <c r="S859" s="7"/>
      <c r="T859" s="7"/>
      <c r="U859" s="7"/>
      <c r="V859" s="7"/>
      <c r="W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R860" s="7"/>
      <c r="S860" s="7"/>
      <c r="T860" s="7"/>
      <c r="U860" s="7"/>
      <c r="V860" s="7"/>
      <c r="W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R861" s="7"/>
      <c r="S861" s="7"/>
      <c r="T861" s="7"/>
      <c r="U861" s="7"/>
      <c r="V861" s="7"/>
      <c r="W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R862" s="7"/>
      <c r="S862" s="7"/>
      <c r="T862" s="7"/>
      <c r="U862" s="7"/>
      <c r="V862" s="7"/>
      <c r="W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R863" s="7"/>
      <c r="S863" s="7"/>
      <c r="T863" s="7"/>
      <c r="U863" s="7"/>
      <c r="V863" s="7"/>
      <c r="W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R864" s="7"/>
      <c r="S864" s="7"/>
      <c r="T864" s="7"/>
      <c r="U864" s="7"/>
      <c r="V864" s="7"/>
      <c r="W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R865" s="7"/>
      <c r="S865" s="7"/>
      <c r="T865" s="7"/>
      <c r="U865" s="7"/>
      <c r="V865" s="7"/>
      <c r="W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R866" s="7"/>
      <c r="S866" s="7"/>
      <c r="T866" s="7"/>
      <c r="U866" s="7"/>
      <c r="V866" s="7"/>
      <c r="W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R867" s="7"/>
      <c r="S867" s="7"/>
      <c r="T867" s="7"/>
      <c r="U867" s="7"/>
      <c r="V867" s="7"/>
      <c r="W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R868" s="7"/>
      <c r="S868" s="7"/>
      <c r="T868" s="7"/>
      <c r="U868" s="7"/>
      <c r="V868" s="7"/>
      <c r="W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R869" s="7"/>
      <c r="S869" s="7"/>
      <c r="T869" s="7"/>
      <c r="U869" s="7"/>
      <c r="V869" s="7"/>
      <c r="W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R870" s="7"/>
      <c r="S870" s="7"/>
      <c r="T870" s="7"/>
      <c r="U870" s="7"/>
      <c r="V870" s="7"/>
      <c r="W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R871" s="7"/>
      <c r="S871" s="7"/>
      <c r="T871" s="7"/>
      <c r="U871" s="7"/>
      <c r="V871" s="7"/>
      <c r="W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R872" s="7"/>
      <c r="S872" s="7"/>
      <c r="T872" s="7"/>
      <c r="U872" s="7"/>
      <c r="V872" s="7"/>
      <c r="W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R873" s="7"/>
      <c r="S873" s="7"/>
      <c r="T873" s="7"/>
      <c r="U873" s="7"/>
      <c r="V873" s="7"/>
      <c r="W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R874" s="7"/>
      <c r="S874" s="7"/>
      <c r="T874" s="7"/>
      <c r="U874" s="7"/>
      <c r="V874" s="7"/>
      <c r="W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R875" s="7"/>
      <c r="S875" s="7"/>
      <c r="T875" s="7"/>
      <c r="U875" s="7"/>
      <c r="V875" s="7"/>
      <c r="W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R876" s="7"/>
      <c r="S876" s="7"/>
      <c r="T876" s="7"/>
      <c r="U876" s="7"/>
      <c r="V876" s="7"/>
      <c r="W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R877" s="7"/>
      <c r="S877" s="7"/>
      <c r="T877" s="7"/>
      <c r="U877" s="7"/>
      <c r="V877" s="7"/>
      <c r="W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R878" s="7"/>
      <c r="S878" s="7"/>
      <c r="T878" s="7"/>
      <c r="U878" s="7"/>
      <c r="V878" s="7"/>
      <c r="W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R879" s="7"/>
      <c r="S879" s="7"/>
      <c r="T879" s="7"/>
      <c r="U879" s="7"/>
      <c r="V879" s="7"/>
      <c r="W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R880" s="7"/>
      <c r="S880" s="7"/>
      <c r="T880" s="7"/>
      <c r="U880" s="7"/>
      <c r="V880" s="7"/>
      <c r="W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R881" s="7"/>
      <c r="S881" s="7"/>
      <c r="T881" s="7"/>
      <c r="U881" s="7"/>
      <c r="V881" s="7"/>
      <c r="W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R882" s="7"/>
      <c r="S882" s="7"/>
      <c r="T882" s="7"/>
      <c r="U882" s="7"/>
      <c r="V882" s="7"/>
      <c r="W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R883" s="7"/>
      <c r="S883" s="7"/>
      <c r="T883" s="7"/>
      <c r="U883" s="7"/>
      <c r="V883" s="7"/>
      <c r="W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R884" s="7"/>
      <c r="S884" s="7"/>
      <c r="T884" s="7"/>
      <c r="U884" s="7"/>
      <c r="V884" s="7"/>
      <c r="W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R885" s="7"/>
      <c r="S885" s="7"/>
      <c r="T885" s="7"/>
      <c r="U885" s="7"/>
      <c r="V885" s="7"/>
      <c r="W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R886" s="7"/>
      <c r="S886" s="7"/>
      <c r="T886" s="7"/>
      <c r="U886" s="7"/>
      <c r="V886" s="7"/>
      <c r="W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R887" s="7"/>
      <c r="S887" s="7"/>
      <c r="T887" s="7"/>
      <c r="U887" s="7"/>
      <c r="V887" s="7"/>
      <c r="W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R888" s="7"/>
      <c r="S888" s="7"/>
      <c r="T888" s="7"/>
      <c r="U888" s="7"/>
      <c r="V888" s="7"/>
      <c r="W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R889" s="7"/>
      <c r="S889" s="7"/>
      <c r="T889" s="7"/>
      <c r="U889" s="7"/>
      <c r="V889" s="7"/>
      <c r="W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R890" s="7"/>
      <c r="S890" s="7"/>
      <c r="T890" s="7"/>
      <c r="U890" s="7"/>
      <c r="V890" s="7"/>
      <c r="W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R891" s="7"/>
      <c r="S891" s="7"/>
      <c r="T891" s="7"/>
      <c r="U891" s="7"/>
      <c r="V891" s="7"/>
      <c r="W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R892" s="7"/>
      <c r="S892" s="7"/>
      <c r="T892" s="7"/>
      <c r="U892" s="7"/>
      <c r="V892" s="7"/>
      <c r="W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R893" s="7"/>
      <c r="S893" s="7"/>
      <c r="T893" s="7"/>
      <c r="U893" s="7"/>
      <c r="V893" s="7"/>
      <c r="W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R894" s="7"/>
      <c r="S894" s="7"/>
      <c r="T894" s="7"/>
      <c r="U894" s="7"/>
      <c r="V894" s="7"/>
      <c r="W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R895" s="7"/>
      <c r="S895" s="7"/>
      <c r="T895" s="7"/>
      <c r="U895" s="7"/>
      <c r="V895" s="7"/>
      <c r="W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R896" s="7"/>
      <c r="S896" s="7"/>
      <c r="T896" s="7"/>
      <c r="U896" s="7"/>
      <c r="V896" s="7"/>
      <c r="W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R897" s="7"/>
      <c r="S897" s="7"/>
      <c r="T897" s="7"/>
      <c r="U897" s="7"/>
      <c r="V897" s="7"/>
      <c r="W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R898" s="7"/>
      <c r="S898" s="7"/>
      <c r="T898" s="7"/>
      <c r="U898" s="7"/>
      <c r="V898" s="7"/>
      <c r="W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R899" s="7"/>
      <c r="S899" s="7"/>
      <c r="T899" s="7"/>
      <c r="U899" s="7"/>
      <c r="V899" s="7"/>
      <c r="W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R900" s="7"/>
      <c r="S900" s="7"/>
      <c r="T900" s="7"/>
      <c r="U900" s="7"/>
      <c r="V900" s="7"/>
      <c r="W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R901" s="7"/>
      <c r="S901" s="7"/>
      <c r="T901" s="7"/>
      <c r="U901" s="7"/>
      <c r="V901" s="7"/>
      <c r="W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R902" s="7"/>
      <c r="S902" s="7"/>
      <c r="T902" s="7"/>
      <c r="U902" s="7"/>
      <c r="V902" s="7"/>
      <c r="W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R903" s="7"/>
      <c r="S903" s="7"/>
      <c r="T903" s="7"/>
      <c r="U903" s="7"/>
      <c r="V903" s="7"/>
      <c r="W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R904" s="7"/>
      <c r="S904" s="7"/>
      <c r="T904" s="7"/>
      <c r="U904" s="7"/>
      <c r="V904" s="7"/>
      <c r="W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R905" s="7"/>
      <c r="S905" s="7"/>
      <c r="T905" s="7"/>
      <c r="U905" s="7"/>
      <c r="V905" s="7"/>
      <c r="W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R906" s="7"/>
      <c r="S906" s="7"/>
      <c r="T906" s="7"/>
      <c r="U906" s="7"/>
      <c r="V906" s="7"/>
      <c r="W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R907" s="7"/>
      <c r="S907" s="7"/>
      <c r="T907" s="7"/>
      <c r="U907" s="7"/>
      <c r="V907" s="7"/>
      <c r="W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R908" s="7"/>
      <c r="S908" s="7"/>
      <c r="T908" s="7"/>
      <c r="U908" s="7"/>
      <c r="V908" s="7"/>
      <c r="W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R909" s="7"/>
      <c r="S909" s="7"/>
      <c r="T909" s="7"/>
      <c r="U909" s="7"/>
      <c r="V909" s="7"/>
      <c r="W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R910" s="7"/>
      <c r="S910" s="7"/>
      <c r="T910" s="7"/>
      <c r="U910" s="7"/>
      <c r="V910" s="7"/>
      <c r="W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R911" s="7"/>
      <c r="S911" s="7"/>
      <c r="T911" s="7"/>
      <c r="U911" s="7"/>
      <c r="V911" s="7"/>
      <c r="W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R912" s="7"/>
      <c r="S912" s="7"/>
      <c r="T912" s="7"/>
      <c r="U912" s="7"/>
      <c r="V912" s="7"/>
      <c r="W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R913" s="7"/>
      <c r="S913" s="7"/>
      <c r="T913" s="7"/>
      <c r="U913" s="7"/>
      <c r="V913" s="7"/>
      <c r="W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R914" s="7"/>
      <c r="S914" s="7"/>
      <c r="T914" s="7"/>
      <c r="U914" s="7"/>
      <c r="V914" s="7"/>
      <c r="W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R915" s="7"/>
      <c r="S915" s="7"/>
      <c r="T915" s="7"/>
      <c r="U915" s="7"/>
      <c r="V915" s="7"/>
      <c r="W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R916" s="7"/>
      <c r="S916" s="7"/>
      <c r="T916" s="7"/>
      <c r="U916" s="7"/>
      <c r="V916" s="7"/>
      <c r="W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R917" s="7"/>
      <c r="S917" s="7"/>
      <c r="T917" s="7"/>
      <c r="U917" s="7"/>
      <c r="V917" s="7"/>
      <c r="W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R918" s="7"/>
      <c r="S918" s="7"/>
      <c r="T918" s="7"/>
      <c r="U918" s="7"/>
      <c r="V918" s="7"/>
      <c r="W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R919" s="7"/>
      <c r="S919" s="7"/>
      <c r="T919" s="7"/>
      <c r="U919" s="7"/>
      <c r="V919" s="7"/>
      <c r="W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R920" s="7"/>
      <c r="S920" s="7"/>
      <c r="T920" s="7"/>
      <c r="U920" s="7"/>
      <c r="V920" s="7"/>
      <c r="W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R921" s="7"/>
      <c r="S921" s="7"/>
      <c r="T921" s="7"/>
      <c r="U921" s="7"/>
      <c r="V921" s="7"/>
      <c r="W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R922" s="7"/>
      <c r="S922" s="7"/>
      <c r="T922" s="7"/>
      <c r="U922" s="7"/>
      <c r="V922" s="7"/>
      <c r="W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R923" s="7"/>
      <c r="S923" s="7"/>
      <c r="T923" s="7"/>
      <c r="U923" s="7"/>
      <c r="V923" s="7"/>
      <c r="W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R924" s="7"/>
      <c r="S924" s="7"/>
      <c r="T924" s="7"/>
      <c r="U924" s="7"/>
      <c r="V924" s="7"/>
      <c r="W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R925" s="7"/>
      <c r="S925" s="7"/>
      <c r="T925" s="7"/>
      <c r="U925" s="7"/>
      <c r="V925" s="7"/>
      <c r="W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R926" s="7"/>
      <c r="S926" s="7"/>
      <c r="T926" s="7"/>
      <c r="U926" s="7"/>
      <c r="V926" s="7"/>
      <c r="W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R927" s="7"/>
      <c r="S927" s="7"/>
      <c r="T927" s="7"/>
      <c r="U927" s="7"/>
      <c r="V927" s="7"/>
      <c r="W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R928" s="7"/>
      <c r="S928" s="7"/>
      <c r="T928" s="7"/>
      <c r="U928" s="7"/>
      <c r="V928" s="7"/>
      <c r="W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R929" s="7"/>
      <c r="S929" s="7"/>
      <c r="T929" s="7"/>
      <c r="U929" s="7"/>
      <c r="V929" s="7"/>
      <c r="W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R930" s="7"/>
      <c r="S930" s="7"/>
      <c r="T930" s="7"/>
      <c r="U930" s="7"/>
      <c r="V930" s="7"/>
      <c r="W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R931" s="7"/>
      <c r="S931" s="7"/>
      <c r="T931" s="7"/>
      <c r="U931" s="7"/>
      <c r="V931" s="7"/>
      <c r="W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R932" s="7"/>
      <c r="S932" s="7"/>
      <c r="T932" s="7"/>
      <c r="U932" s="7"/>
      <c r="V932" s="7"/>
      <c r="W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R933" s="7"/>
      <c r="S933" s="7"/>
      <c r="T933" s="7"/>
      <c r="U933" s="7"/>
      <c r="V933" s="7"/>
      <c r="W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R934" s="7"/>
      <c r="S934" s="7"/>
      <c r="T934" s="7"/>
      <c r="U934" s="7"/>
      <c r="V934" s="7"/>
      <c r="W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R935" s="7"/>
      <c r="S935" s="7"/>
      <c r="T935" s="7"/>
      <c r="U935" s="7"/>
      <c r="V935" s="7"/>
      <c r="W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R936" s="7"/>
      <c r="S936" s="7"/>
      <c r="T936" s="7"/>
      <c r="U936" s="7"/>
      <c r="V936" s="7"/>
      <c r="W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R937" s="7"/>
      <c r="S937" s="7"/>
      <c r="T937" s="7"/>
      <c r="U937" s="7"/>
      <c r="V937" s="7"/>
      <c r="W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R938" s="7"/>
      <c r="S938" s="7"/>
      <c r="T938" s="7"/>
      <c r="U938" s="7"/>
      <c r="V938" s="7"/>
      <c r="W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R939" s="7"/>
      <c r="S939" s="7"/>
      <c r="T939" s="7"/>
      <c r="U939" s="7"/>
      <c r="V939" s="7"/>
      <c r="W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R940" s="7"/>
      <c r="S940" s="7"/>
      <c r="T940" s="7"/>
      <c r="U940" s="7"/>
      <c r="V940" s="7"/>
      <c r="W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R941" s="7"/>
      <c r="S941" s="7"/>
      <c r="T941" s="7"/>
      <c r="U941" s="7"/>
      <c r="V941" s="7"/>
      <c r="W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R942" s="7"/>
      <c r="S942" s="7"/>
      <c r="T942" s="7"/>
      <c r="U942" s="7"/>
      <c r="V942" s="7"/>
      <c r="W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R943" s="7"/>
      <c r="S943" s="7"/>
      <c r="T943" s="7"/>
      <c r="U943" s="7"/>
      <c r="V943" s="7"/>
      <c r="W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R944" s="7"/>
      <c r="S944" s="7"/>
      <c r="T944" s="7"/>
      <c r="U944" s="7"/>
      <c r="V944" s="7"/>
      <c r="W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R945" s="7"/>
      <c r="S945" s="7"/>
      <c r="T945" s="7"/>
      <c r="U945" s="7"/>
      <c r="V945" s="7"/>
      <c r="W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R946" s="7"/>
      <c r="S946" s="7"/>
      <c r="T946" s="7"/>
      <c r="U946" s="7"/>
      <c r="V946" s="7"/>
      <c r="W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R947" s="7"/>
      <c r="S947" s="7"/>
      <c r="T947" s="7"/>
      <c r="U947" s="7"/>
      <c r="V947" s="7"/>
      <c r="W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R948" s="7"/>
      <c r="S948" s="7"/>
      <c r="T948" s="7"/>
      <c r="U948" s="7"/>
      <c r="V948" s="7"/>
      <c r="W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R949" s="7"/>
      <c r="S949" s="7"/>
      <c r="T949" s="7"/>
      <c r="U949" s="7"/>
      <c r="V949" s="7"/>
      <c r="W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R950" s="7"/>
      <c r="S950" s="7"/>
      <c r="T950" s="7"/>
      <c r="U950" s="7"/>
      <c r="V950" s="7"/>
      <c r="W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R951" s="7"/>
      <c r="S951" s="7"/>
      <c r="T951" s="7"/>
      <c r="U951" s="7"/>
      <c r="V951" s="7"/>
      <c r="W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R952" s="7"/>
      <c r="S952" s="7"/>
      <c r="T952" s="7"/>
      <c r="U952" s="7"/>
      <c r="V952" s="7"/>
      <c r="W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R953" s="7"/>
      <c r="S953" s="7"/>
      <c r="T953" s="7"/>
      <c r="U953" s="7"/>
      <c r="V953" s="7"/>
      <c r="W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R954" s="7"/>
      <c r="S954" s="7"/>
      <c r="T954" s="7"/>
      <c r="U954" s="7"/>
      <c r="V954" s="7"/>
      <c r="W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R955" s="7"/>
      <c r="S955" s="7"/>
      <c r="T955" s="7"/>
      <c r="U955" s="7"/>
      <c r="V955" s="7"/>
      <c r="W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R956" s="7"/>
      <c r="S956" s="7"/>
      <c r="T956" s="7"/>
      <c r="U956" s="7"/>
      <c r="V956" s="7"/>
      <c r="W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R957" s="7"/>
      <c r="S957" s="7"/>
      <c r="T957" s="7"/>
      <c r="U957" s="7"/>
      <c r="V957" s="7"/>
      <c r="W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R958" s="7"/>
      <c r="S958" s="7"/>
      <c r="T958" s="7"/>
      <c r="U958" s="7"/>
      <c r="V958" s="7"/>
      <c r="W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R959" s="7"/>
      <c r="S959" s="7"/>
      <c r="T959" s="7"/>
      <c r="U959" s="7"/>
      <c r="V959" s="7"/>
      <c r="W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R960" s="7"/>
      <c r="S960" s="7"/>
      <c r="T960" s="7"/>
      <c r="U960" s="7"/>
      <c r="V960" s="7"/>
      <c r="W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R961" s="7"/>
      <c r="S961" s="7"/>
      <c r="T961" s="7"/>
      <c r="U961" s="7"/>
      <c r="V961" s="7"/>
      <c r="W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R962" s="7"/>
      <c r="S962" s="7"/>
      <c r="T962" s="7"/>
      <c r="U962" s="7"/>
      <c r="V962" s="7"/>
      <c r="W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R963" s="7"/>
      <c r="S963" s="7"/>
      <c r="T963" s="7"/>
      <c r="U963" s="7"/>
      <c r="V963" s="7"/>
      <c r="W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R964" s="7"/>
      <c r="S964" s="7"/>
      <c r="T964" s="7"/>
      <c r="U964" s="7"/>
      <c r="V964" s="7"/>
      <c r="W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R965" s="7"/>
      <c r="S965" s="7"/>
      <c r="T965" s="7"/>
      <c r="U965" s="7"/>
      <c r="V965" s="7"/>
      <c r="W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R966" s="7"/>
      <c r="S966" s="7"/>
      <c r="T966" s="7"/>
      <c r="U966" s="7"/>
      <c r="V966" s="7"/>
      <c r="W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R967" s="7"/>
      <c r="S967" s="7"/>
      <c r="T967" s="7"/>
      <c r="U967" s="7"/>
      <c r="V967" s="7"/>
      <c r="W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R968" s="7"/>
      <c r="S968" s="7"/>
      <c r="T968" s="7"/>
      <c r="U968" s="7"/>
      <c r="V968" s="7"/>
      <c r="W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R969" s="7"/>
      <c r="S969" s="7"/>
      <c r="T969" s="7"/>
      <c r="U969" s="7"/>
      <c r="V969" s="7"/>
      <c r="W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R970" s="7"/>
      <c r="S970" s="7"/>
      <c r="T970" s="7"/>
      <c r="U970" s="7"/>
      <c r="V970" s="7"/>
      <c r="W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R971" s="7"/>
      <c r="S971" s="7"/>
      <c r="T971" s="7"/>
      <c r="U971" s="7"/>
      <c r="V971" s="7"/>
      <c r="W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R972" s="7"/>
      <c r="S972" s="7"/>
      <c r="T972" s="7"/>
      <c r="U972" s="7"/>
      <c r="V972" s="7"/>
      <c r="W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R973" s="7"/>
      <c r="S973" s="7"/>
      <c r="T973" s="7"/>
      <c r="U973" s="7"/>
      <c r="V973" s="7"/>
      <c r="W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R974" s="7"/>
      <c r="S974" s="7"/>
      <c r="T974" s="7"/>
      <c r="U974" s="7"/>
      <c r="V974" s="7"/>
      <c r="W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R975" s="7"/>
      <c r="S975" s="7"/>
      <c r="T975" s="7"/>
      <c r="U975" s="7"/>
      <c r="V975" s="7"/>
      <c r="W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R976" s="7"/>
      <c r="S976" s="7"/>
      <c r="T976" s="7"/>
      <c r="U976" s="7"/>
      <c r="V976" s="7"/>
      <c r="W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R977" s="7"/>
      <c r="S977" s="7"/>
      <c r="T977" s="7"/>
      <c r="U977" s="7"/>
      <c r="V977" s="7"/>
      <c r="W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R978" s="7"/>
      <c r="S978" s="7"/>
      <c r="T978" s="7"/>
      <c r="U978" s="7"/>
      <c r="V978" s="7"/>
      <c r="W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R979" s="7"/>
      <c r="S979" s="7"/>
      <c r="T979" s="7"/>
      <c r="U979" s="7"/>
      <c r="V979" s="7"/>
      <c r="W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R980" s="7"/>
      <c r="S980" s="7"/>
      <c r="T980" s="7"/>
      <c r="U980" s="7"/>
      <c r="V980" s="7"/>
      <c r="W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R981" s="7"/>
      <c r="S981" s="7"/>
      <c r="T981" s="7"/>
      <c r="U981" s="7"/>
      <c r="V981" s="7"/>
      <c r="W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R982" s="7"/>
      <c r="S982" s="7"/>
      <c r="T982" s="7"/>
      <c r="U982" s="7"/>
      <c r="V982" s="7"/>
      <c r="W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R983" s="7"/>
      <c r="S983" s="7"/>
      <c r="T983" s="7"/>
      <c r="U983" s="7"/>
      <c r="V983" s="7"/>
      <c r="W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R984" s="7"/>
      <c r="S984" s="7"/>
      <c r="T984" s="7"/>
      <c r="U984" s="7"/>
      <c r="V984" s="7"/>
      <c r="W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R985" s="7"/>
      <c r="S985" s="7"/>
      <c r="T985" s="7"/>
      <c r="U985" s="7"/>
      <c r="V985" s="7"/>
      <c r="W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R986" s="7"/>
      <c r="S986" s="7"/>
      <c r="T986" s="7"/>
      <c r="U986" s="7"/>
      <c r="V986" s="7"/>
      <c r="W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R987" s="7"/>
      <c r="S987" s="7"/>
      <c r="T987" s="7"/>
      <c r="U987" s="7"/>
      <c r="V987" s="7"/>
      <c r="W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R988" s="7"/>
      <c r="S988" s="7"/>
      <c r="T988" s="7"/>
      <c r="U988" s="7"/>
      <c r="V988" s="7"/>
      <c r="W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R989" s="7"/>
      <c r="S989" s="7"/>
      <c r="T989" s="7"/>
      <c r="U989" s="7"/>
      <c r="V989" s="7"/>
      <c r="W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R990" s="7"/>
      <c r="S990" s="7"/>
      <c r="T990" s="7"/>
      <c r="U990" s="7"/>
      <c r="V990" s="7"/>
      <c r="W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R991" s="7"/>
      <c r="S991" s="7"/>
      <c r="T991" s="7"/>
      <c r="U991" s="7"/>
      <c r="V991" s="7"/>
      <c r="W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R992" s="7"/>
      <c r="S992" s="7"/>
      <c r="T992" s="7"/>
      <c r="U992" s="7"/>
      <c r="V992" s="7"/>
      <c r="W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R993" s="7"/>
      <c r="S993" s="7"/>
      <c r="T993" s="7"/>
      <c r="U993" s="7"/>
      <c r="V993" s="7"/>
      <c r="W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R994" s="7"/>
      <c r="S994" s="7"/>
      <c r="T994" s="7"/>
      <c r="U994" s="7"/>
      <c r="V994" s="7"/>
      <c r="W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R995" s="7"/>
      <c r="S995" s="7"/>
      <c r="T995" s="7"/>
      <c r="U995" s="7"/>
      <c r="V995" s="7"/>
      <c r="W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R996" s="7"/>
      <c r="S996" s="7"/>
      <c r="T996" s="7"/>
      <c r="U996" s="7"/>
      <c r="V996" s="7"/>
      <c r="W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R997" s="7"/>
      <c r="S997" s="7"/>
      <c r="T997" s="7"/>
      <c r="U997" s="7"/>
      <c r="V997" s="7"/>
      <c r="W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R998" s="7"/>
      <c r="S998" s="7"/>
      <c r="T998" s="7"/>
      <c r="U998" s="7"/>
      <c r="V998" s="7"/>
      <c r="W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R999" s="7"/>
      <c r="S999" s="7"/>
      <c r="T999" s="7"/>
      <c r="U999" s="7"/>
      <c r="V999" s="7"/>
      <c r="W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R1000" s="7"/>
      <c r="S1000" s="7"/>
      <c r="T1000" s="7"/>
      <c r="U1000" s="7"/>
      <c r="V1000" s="7"/>
      <c r="W1000" s="7"/>
    </row>
  </sheetData>
  <mergeCells count="4">
    <mergeCell ref="A2:H2"/>
    <mergeCell ref="I2:K2"/>
    <mergeCell ref="L2:N2"/>
    <mergeCell ref="O2:R2"/>
  </mergeCells>
  <printOptions/>
  <pageMargins bottom="1.0" footer="0.0" header="0.0" left="0.75" right="0.75" top="1.0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0"/>
    <col customWidth="1" min="2" max="2" width="12.38"/>
    <col customWidth="1" hidden="1" min="3" max="3" width="12.63"/>
    <col customWidth="1" min="4" max="4" width="11.25"/>
    <col customWidth="1" min="5" max="5" width="10.88"/>
    <col customWidth="1" min="6" max="6" width="8.88"/>
    <col customWidth="1" min="7" max="7" width="9.88"/>
    <col customWidth="1" min="8" max="8" width="9.75"/>
    <col customWidth="1" min="9" max="9" width="9.88" outlineLevel="1"/>
    <col customWidth="1" min="10" max="10" width="9.0" outlineLevel="1"/>
    <col customWidth="1" min="11" max="11" width="10.0" outlineLevel="1"/>
    <col customWidth="1" min="12" max="12" width="9.5" outlineLevel="1"/>
    <col customWidth="1" min="13" max="13" width="8.88"/>
    <col customWidth="1" hidden="1" min="14" max="14" width="11.0"/>
    <col customWidth="1" min="15" max="15" width="11.25"/>
    <col customWidth="1" min="16" max="18" width="9.63"/>
    <col customWidth="1" hidden="1" min="19" max="19" width="11.13"/>
    <col customWidth="1" min="20" max="20" width="10.38"/>
    <col customWidth="1" min="21" max="21" width="9.13"/>
    <col customWidth="1" min="22" max="22" width="9.38"/>
    <col customWidth="1" min="23" max="23" width="8.25"/>
    <col customWidth="1" min="25" max="25" width="16.38"/>
  </cols>
  <sheetData>
    <row r="1" ht="25.5" customHeight="1">
      <c r="A1" s="165"/>
      <c r="B1" s="165"/>
      <c r="C1" s="165"/>
      <c r="D1" s="165"/>
      <c r="E1" s="165"/>
      <c r="F1" s="165"/>
      <c r="G1" s="165"/>
      <c r="H1" s="165"/>
      <c r="I1" s="588"/>
      <c r="J1" s="273"/>
      <c r="K1" s="167"/>
      <c r="L1" s="166"/>
      <c r="M1" s="284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</row>
    <row r="2" ht="25.5" customHeight="1">
      <c r="A2" s="165" t="s">
        <v>40</v>
      </c>
      <c r="I2" s="615" t="s">
        <v>104</v>
      </c>
      <c r="J2" s="278"/>
      <c r="K2" s="278"/>
      <c r="L2" s="278"/>
      <c r="M2" s="616" t="s">
        <v>106</v>
      </c>
      <c r="N2" s="278"/>
      <c r="O2" s="278"/>
      <c r="P2" s="278"/>
      <c r="Q2" s="617"/>
      <c r="R2" s="618" t="s">
        <v>108</v>
      </c>
      <c r="S2" s="278"/>
      <c r="T2" s="278"/>
      <c r="U2" s="278"/>
      <c r="V2" s="493"/>
      <c r="W2" s="166"/>
      <c r="X2" s="166" t="s">
        <v>162</v>
      </c>
      <c r="Y2" s="166"/>
      <c r="Z2" s="166"/>
      <c r="AA2" s="166"/>
      <c r="AB2" s="166"/>
      <c r="AC2" s="166"/>
      <c r="AD2" s="166"/>
      <c r="AE2" s="166"/>
      <c r="AF2" s="166"/>
    </row>
    <row r="3" ht="59.25" customHeight="1">
      <c r="A3" s="619" t="s">
        <v>118</v>
      </c>
      <c r="B3" s="619" t="s">
        <v>119</v>
      </c>
      <c r="C3" s="619" t="s">
        <v>120</v>
      </c>
      <c r="D3" s="619" t="s">
        <v>121</v>
      </c>
      <c r="E3" s="619" t="s">
        <v>122</v>
      </c>
      <c r="F3" s="619" t="s">
        <v>123</v>
      </c>
      <c r="G3" s="620" t="s">
        <v>124</v>
      </c>
      <c r="H3" s="621" t="s">
        <v>125</v>
      </c>
      <c r="I3" s="622" t="s">
        <v>126</v>
      </c>
      <c r="J3" s="623" t="s">
        <v>127</v>
      </c>
      <c r="K3" s="499" t="s">
        <v>180</v>
      </c>
      <c r="L3" s="185" t="s">
        <v>181</v>
      </c>
      <c r="M3" s="498" t="s">
        <v>126</v>
      </c>
      <c r="N3" s="185" t="s">
        <v>147</v>
      </c>
      <c r="O3" s="185" t="s">
        <v>127</v>
      </c>
      <c r="P3" s="185" t="s">
        <v>180</v>
      </c>
      <c r="Q3" s="501" t="s">
        <v>181</v>
      </c>
      <c r="R3" s="185" t="s">
        <v>126</v>
      </c>
      <c r="S3" s="185" t="s">
        <v>147</v>
      </c>
      <c r="T3" s="185" t="s">
        <v>127</v>
      </c>
      <c r="U3" s="185" t="s">
        <v>180</v>
      </c>
      <c r="V3" s="501" t="s">
        <v>181</v>
      </c>
      <c r="W3" s="166"/>
      <c r="X3" s="166"/>
      <c r="Y3" s="166"/>
      <c r="Z3" s="166"/>
      <c r="AA3" s="166"/>
      <c r="AB3" s="166"/>
      <c r="AC3" s="166"/>
      <c r="AD3" s="166"/>
      <c r="AE3" s="166"/>
      <c r="AF3" s="166"/>
    </row>
    <row r="4" ht="15.75" customHeight="1">
      <c r="A4" s="166" t="s">
        <v>34</v>
      </c>
      <c r="B4" s="335">
        <f>CONTROLE!I12</f>
        <v>0</v>
      </c>
      <c r="C4" s="284">
        <v>0.0</v>
      </c>
      <c r="D4" s="588">
        <f>CONTROLE!E12</f>
        <v>0</v>
      </c>
      <c r="E4" s="624">
        <f>CONTROLE!D12</f>
        <v>78</v>
      </c>
      <c r="F4" s="588">
        <f t="shared" ref="F4:F6" si="1">D4+E4</f>
        <v>78</v>
      </c>
      <c r="G4" s="588"/>
      <c r="H4" s="588">
        <f t="shared" ref="H4:H5" si="2">SUM(F4:G4)</f>
        <v>78</v>
      </c>
      <c r="I4" s="625">
        <f>482/22</f>
        <v>21.90909091</v>
      </c>
      <c r="J4" s="626">
        <f>'REFERENCIA PML'!C3</f>
        <v>25.57</v>
      </c>
      <c r="K4" s="514">
        <f>0/482</f>
        <v>0</v>
      </c>
      <c r="L4" s="627">
        <f>'REFERENCIA PML'!E3</f>
        <v>23.87</v>
      </c>
      <c r="M4" s="516" t="s">
        <v>134</v>
      </c>
      <c r="N4" s="517" t="s">
        <v>134</v>
      </c>
      <c r="O4" s="628" t="str">
        <f>'REFERENCIA PML'!C10</f>
        <v>R$ 21,38</v>
      </c>
      <c r="P4" s="517" t="s">
        <v>134</v>
      </c>
      <c r="Q4" s="629">
        <f>'REFERENCIA PML'!E10</f>
        <v>21.83</v>
      </c>
      <c r="R4" s="628">
        <f>5266.12/185</f>
        <v>28.46551351</v>
      </c>
      <c r="S4" s="630">
        <v>1.055</v>
      </c>
      <c r="T4" s="514" t="str">
        <f>'REFERENCIA PML'!C17</f>
        <v>R$ 25,59</v>
      </c>
      <c r="U4" s="514">
        <f>929.5/5266.12 </f>
        <v>0.1765056626</v>
      </c>
      <c r="V4" s="631">
        <f>'REFERENCIA PML'!E17</f>
        <v>26.54</v>
      </c>
      <c r="W4" s="166"/>
      <c r="X4" s="166"/>
      <c r="Y4" s="166"/>
      <c r="Z4" s="166"/>
      <c r="AA4" s="166"/>
      <c r="AB4" s="166"/>
      <c r="AC4" s="166"/>
      <c r="AD4" s="166"/>
      <c r="AE4" s="166"/>
      <c r="AF4" s="166"/>
    </row>
    <row r="5" ht="15.75" customHeight="1">
      <c r="A5" s="339" t="s">
        <v>91</v>
      </c>
      <c r="B5" s="340">
        <f>CONTROLE!I25</f>
        <v>0</v>
      </c>
      <c r="C5" s="632"/>
      <c r="D5" s="343">
        <f>CONTROLE!E25</f>
        <v>0</v>
      </c>
      <c r="E5" s="343">
        <f>CONTROLE!D25</f>
        <v>54</v>
      </c>
      <c r="F5" s="343">
        <f t="shared" si="1"/>
        <v>54</v>
      </c>
      <c r="G5" s="343">
        <f>CONTROLE!G25</f>
        <v>300</v>
      </c>
      <c r="H5" s="343">
        <f t="shared" si="2"/>
        <v>354</v>
      </c>
      <c r="I5" s="633">
        <f>3308/119</f>
        <v>27.79831933</v>
      </c>
      <c r="J5" s="634">
        <f>'REFERENCIA PML'!C4</f>
        <v>22.88</v>
      </c>
      <c r="K5" s="635">
        <f>674/3308</f>
        <v>0.2037484885</v>
      </c>
      <c r="L5" s="636">
        <f>'REFERENCIA PML'!E4</f>
        <v>33.93</v>
      </c>
      <c r="M5" s="633">
        <f>2168/109</f>
        <v>19.88990826</v>
      </c>
      <c r="N5" s="637">
        <v>0.874</v>
      </c>
      <c r="O5" s="638">
        <f>'REFERENCIA PML'!C11</f>
        <v>22.14</v>
      </c>
      <c r="P5" s="635">
        <f>1697.5/2168</f>
        <v>0.7829797048</v>
      </c>
      <c r="Q5" s="639">
        <f>'REFERENCIA PML'!E11</f>
        <v>41.82</v>
      </c>
      <c r="R5" s="638">
        <f> 2252/116</f>
        <v>19.4137931</v>
      </c>
      <c r="S5" s="640">
        <v>0.793</v>
      </c>
      <c r="T5" s="635" t="str">
        <f>'REFERENCIA PML'!C18</f>
        <v>R$ 22,89</v>
      </c>
      <c r="U5" s="635">
        <f>419/2252</f>
        <v>0.1860568384</v>
      </c>
      <c r="V5" s="641">
        <f>'REFERENCIA PML'!E18</f>
        <v>32.53</v>
      </c>
      <c r="W5" s="166"/>
      <c r="X5" s="166"/>
      <c r="Y5" s="166"/>
      <c r="Z5" s="166"/>
      <c r="AA5" s="166"/>
      <c r="AB5" s="166"/>
      <c r="AC5" s="166"/>
      <c r="AD5" s="166"/>
      <c r="AE5" s="166"/>
      <c r="AF5" s="166"/>
    </row>
    <row r="6" ht="15.75" customHeight="1">
      <c r="A6" s="166" t="s">
        <v>98</v>
      </c>
      <c r="B6" s="335">
        <f>CONTROLE!I38</f>
        <v>1</v>
      </c>
      <c r="C6" s="284"/>
      <c r="D6" s="588">
        <f>CONTROLE!E38</f>
        <v>10</v>
      </c>
      <c r="E6" s="588">
        <f>CONTROLE!D38</f>
        <v>237</v>
      </c>
      <c r="F6" s="588">
        <f t="shared" si="1"/>
        <v>247</v>
      </c>
      <c r="G6" s="588">
        <v>300.0</v>
      </c>
      <c r="H6" s="588">
        <f>F6+G6</f>
        <v>547</v>
      </c>
      <c r="I6" s="625">
        <f>21725.1/806</f>
        <v>26.95421836</v>
      </c>
      <c r="J6" s="626">
        <f>'REFERENCIA PML'!C5</f>
        <v>26.06</v>
      </c>
      <c r="K6" s="514">
        <f>4854.5/21725.1 </f>
        <v>0.2234512154</v>
      </c>
      <c r="L6" s="627">
        <f>'REFERENCIA PML'!E5</f>
        <v>30.84</v>
      </c>
      <c r="M6" s="625">
        <f>375/20</f>
        <v>18.75</v>
      </c>
      <c r="N6" s="517" t="s">
        <v>134</v>
      </c>
      <c r="O6" s="628">
        <f>'REFERENCIA PML'!C12</f>
        <v>22.52</v>
      </c>
      <c r="P6" s="514">
        <f>115/375</f>
        <v>0.3066666667</v>
      </c>
      <c r="Q6" s="629">
        <f>'REFERENCIA PML'!E12</f>
        <v>38.47</v>
      </c>
      <c r="R6" s="628">
        <f>1919/99</f>
        <v>19.38383838</v>
      </c>
      <c r="S6" s="517" t="s">
        <v>134</v>
      </c>
      <c r="T6" s="514" t="str">
        <f>'REFERENCIA PML'!C19</f>
        <v>R$ 24,58</v>
      </c>
      <c r="U6" s="514">
        <f>428/1919</f>
        <v>0.2230328296</v>
      </c>
      <c r="V6" s="631">
        <f>'REFERENCIA PML'!E19</f>
        <v>31.51</v>
      </c>
      <c r="W6" s="166"/>
      <c r="X6" s="166"/>
      <c r="Y6" s="166"/>
      <c r="Z6" s="166"/>
      <c r="AA6" s="166"/>
      <c r="AB6" s="166"/>
      <c r="AC6" s="166"/>
      <c r="AD6" s="166"/>
      <c r="AE6" s="166"/>
      <c r="AF6" s="166"/>
    </row>
    <row r="7" ht="15.75" customHeight="1">
      <c r="A7" s="339" t="s">
        <v>103</v>
      </c>
      <c r="B7" s="340" t="s">
        <v>132</v>
      </c>
      <c r="C7" s="632"/>
      <c r="D7" s="343" t="s">
        <v>132</v>
      </c>
      <c r="E7" s="632" t="s">
        <v>132</v>
      </c>
      <c r="F7" s="632" t="s">
        <v>132</v>
      </c>
      <c r="G7" s="343">
        <v>0.0</v>
      </c>
      <c r="H7" s="632" t="s">
        <v>132</v>
      </c>
      <c r="I7" s="642" t="s">
        <v>132</v>
      </c>
      <c r="J7" s="634">
        <f>'REFERENCIA PML'!C6</f>
        <v>23.91</v>
      </c>
      <c r="K7" s="635" t="s">
        <v>132</v>
      </c>
      <c r="L7" s="636">
        <f>'REFERENCIA PML'!E6</f>
        <v>30.52</v>
      </c>
      <c r="M7" s="642">
        <f>2439/98</f>
        <v>24.8877551</v>
      </c>
      <c r="N7" s="339"/>
      <c r="O7" s="638">
        <f>'REFERENCIA PML'!C13</f>
        <v>21.66</v>
      </c>
      <c r="P7" s="330">
        <f>781/2439</f>
        <v>0.3202132021</v>
      </c>
      <c r="Q7" s="639">
        <f>'REFERENCIA PML'!E13</f>
        <v>43.48</v>
      </c>
      <c r="R7" s="343">
        <v>53.0</v>
      </c>
      <c r="S7" s="339"/>
      <c r="T7" s="638">
        <f>'REFERENCIA PML'!C21</f>
        <v>25.34</v>
      </c>
      <c r="U7" s="330">
        <f>53/53</f>
        <v>1</v>
      </c>
      <c r="V7" s="641">
        <f>'REFERENCIA PML'!E20</f>
        <v>33.11</v>
      </c>
      <c r="W7" s="166" t="s">
        <v>182</v>
      </c>
      <c r="X7" s="166"/>
      <c r="Y7" s="166"/>
      <c r="Z7" s="166"/>
      <c r="AA7" s="166"/>
      <c r="AB7" s="166"/>
      <c r="AC7" s="166"/>
      <c r="AD7" s="166"/>
      <c r="AE7" s="166"/>
      <c r="AF7" s="166"/>
    </row>
    <row r="8" ht="15.75" customHeight="1">
      <c r="A8" s="166" t="s">
        <v>110</v>
      </c>
      <c r="B8" s="335">
        <f>CONTROLE!I68</f>
        <v>0</v>
      </c>
      <c r="C8" s="284"/>
      <c r="D8" s="588">
        <f>CONTROLE!E68</f>
        <v>0</v>
      </c>
      <c r="E8" s="588">
        <v>0.0</v>
      </c>
      <c r="F8" s="588">
        <f t="shared" ref="F8:F9" si="3">SUM(B8:E8)</f>
        <v>0</v>
      </c>
      <c r="G8" s="588">
        <v>0.0</v>
      </c>
      <c r="H8" s="588">
        <f t="shared" ref="H8:H10" si="4">SUM(F8:G8)</f>
        <v>0</v>
      </c>
      <c r="I8" s="643" t="s">
        <v>132</v>
      </c>
      <c r="J8" s="626">
        <f>'REFERENCIA PML'!C7</f>
        <v>26.95</v>
      </c>
      <c r="K8" s="168" t="s">
        <v>132</v>
      </c>
      <c r="L8" s="627">
        <f>'REFERENCIA PML'!E7</f>
        <v>33.85</v>
      </c>
      <c r="M8" s="605">
        <f>16144.1/632</f>
        <v>25.54446203</v>
      </c>
      <c r="N8" s="644"/>
      <c r="O8" s="628">
        <f>'REFERENCIA PML'!C14</f>
        <v>25.84</v>
      </c>
      <c r="P8" s="607">
        <f>7489.6/16144.1</f>
        <v>0.4639218043</v>
      </c>
      <c r="Q8" s="629">
        <f>'REFERENCIA PML'!E14</f>
        <v>38.89</v>
      </c>
      <c r="R8" s="606">
        <f>166.5/ 15</f>
        <v>11.1</v>
      </c>
      <c r="S8" s="644"/>
      <c r="T8" s="645">
        <f>'REFERENCIA PML'!C21</f>
        <v>25.34</v>
      </c>
      <c r="U8" s="607">
        <f>60/166.5 </f>
        <v>0.3603603604</v>
      </c>
      <c r="V8" s="646">
        <f>'REFERENCIA PML'!E21</f>
        <v>45.49</v>
      </c>
      <c r="W8" s="166"/>
      <c r="X8" s="166">
        <v>1.0</v>
      </c>
      <c r="Y8" s="166"/>
      <c r="Z8" s="166"/>
      <c r="AA8" s="166"/>
      <c r="AB8" s="166"/>
      <c r="AC8" s="166"/>
      <c r="AD8" s="166"/>
      <c r="AE8" s="166"/>
      <c r="AF8" s="166"/>
    </row>
    <row r="9" ht="15.75" customHeight="1">
      <c r="A9" s="339" t="s">
        <v>138</v>
      </c>
      <c r="B9" s="340">
        <f>CONTROLE!I84</f>
        <v>3</v>
      </c>
      <c r="C9" s="632"/>
      <c r="D9" s="343">
        <f>CONTROLE!E84</f>
        <v>30</v>
      </c>
      <c r="E9" s="343">
        <f>CONTROLE!D84</f>
        <v>68</v>
      </c>
      <c r="F9" s="343">
        <f t="shared" si="3"/>
        <v>101</v>
      </c>
      <c r="G9" s="343">
        <f>CONTROLE!G84</f>
        <v>200</v>
      </c>
      <c r="H9" s="343">
        <f t="shared" si="4"/>
        <v>301</v>
      </c>
      <c r="I9" s="642">
        <f>1781/98</f>
        <v>18.17346939</v>
      </c>
      <c r="J9" s="647">
        <f>'REFERENCIA PML'!C8</f>
        <v>25.71</v>
      </c>
      <c r="K9" s="330">
        <f>557/1781</f>
        <v>0.3127456485</v>
      </c>
      <c r="L9" s="636">
        <f>'REFERENCIA PML'!E8</f>
        <v>33.57</v>
      </c>
      <c r="M9" s="642">
        <f>10825.84/452</f>
        <v>23.95097345</v>
      </c>
      <c r="N9" s="339"/>
      <c r="O9" s="341">
        <f>'REFERENCIA PML'!C15</f>
        <v>24.18</v>
      </c>
      <c r="P9" s="330">
        <f>3938/10825.84</f>
        <v>0.3637593018</v>
      </c>
      <c r="Q9" s="648">
        <f>'REFERENCIA PML'!E15</f>
        <v>42.48</v>
      </c>
      <c r="R9" s="339">
        <f>1087/44</f>
        <v>24.70454545</v>
      </c>
      <c r="S9" s="339"/>
      <c r="T9" s="343">
        <f>'REFERENCIA PML'!C22</f>
        <v>26.36</v>
      </c>
      <c r="U9" s="649">
        <f>669.5/1087</f>
        <v>0.6159153634</v>
      </c>
      <c r="V9" s="648">
        <f>'REFERENCIA PML'!E22</f>
        <v>47.24</v>
      </c>
      <c r="W9" s="166"/>
      <c r="X9" s="166"/>
      <c r="Y9" s="166"/>
      <c r="Z9" s="166"/>
      <c r="AA9" s="166"/>
      <c r="AB9" s="166"/>
      <c r="AC9" s="166"/>
      <c r="AD9" s="166"/>
      <c r="AE9" s="166"/>
      <c r="AF9" s="166"/>
    </row>
    <row r="10" ht="15.75" customHeight="1">
      <c r="A10" s="650" t="s">
        <v>139</v>
      </c>
      <c r="B10" s="651">
        <f>CONTROLE!I100</f>
        <v>5</v>
      </c>
      <c r="C10" s="652"/>
      <c r="D10" s="653">
        <f>CONTROLE!E100</f>
        <v>50</v>
      </c>
      <c r="E10" s="653">
        <f>CONTROLE!D100</f>
        <v>129</v>
      </c>
      <c r="F10" s="653">
        <f>D10+E10</f>
        <v>179</v>
      </c>
      <c r="G10" s="653">
        <f>CONTROLE!G100</f>
        <v>300</v>
      </c>
      <c r="H10" s="653">
        <f t="shared" si="4"/>
        <v>479</v>
      </c>
      <c r="I10" s="654">
        <f>12773.9498/630</f>
        <v>20.27611079</v>
      </c>
      <c r="J10" s="655">
        <f>'REFERENCIA PML'!C9</f>
        <v>23.15</v>
      </c>
      <c r="K10" s="656">
        <f>2273.5/12773.9498</f>
        <v>0.1779794062</v>
      </c>
      <c r="L10" s="657">
        <f>'REFERENCIA PML'!E9</f>
        <v>28.53</v>
      </c>
      <c r="M10" s="658">
        <f>11025.5209/520</f>
        <v>21.20292481</v>
      </c>
      <c r="N10" s="659">
        <f>M10/O10</f>
        <v>0.8682606391</v>
      </c>
      <c r="O10" s="659">
        <f>'REFERENCIA PML'!C16</f>
        <v>24.42</v>
      </c>
      <c r="P10" s="660">
        <f>3500.0003/11025.5209</f>
        <v>0.3174453463</v>
      </c>
      <c r="Q10" s="661">
        <f>'REFERENCIA PML'!E16</f>
        <v>39.99</v>
      </c>
      <c r="R10" s="650" t="s">
        <v>134</v>
      </c>
      <c r="S10" s="650" t="s">
        <v>134</v>
      </c>
      <c r="T10" s="650" t="s">
        <v>134</v>
      </c>
      <c r="U10" s="650" t="s">
        <v>134</v>
      </c>
      <c r="V10" s="662" t="s">
        <v>134</v>
      </c>
      <c r="W10" s="166"/>
      <c r="X10" s="166"/>
      <c r="Y10" s="166"/>
      <c r="Z10" s="166"/>
      <c r="AA10" s="166"/>
      <c r="AB10" s="166"/>
      <c r="AC10" s="166"/>
      <c r="AD10" s="166"/>
      <c r="AE10" s="166"/>
      <c r="AF10" s="166"/>
    </row>
    <row r="11" ht="15.75" customHeight="1">
      <c r="A11" s="339" t="s">
        <v>141</v>
      </c>
      <c r="B11" s="632"/>
      <c r="C11" s="632"/>
      <c r="D11" s="632"/>
      <c r="E11" s="632"/>
      <c r="F11" s="632"/>
      <c r="G11" s="343"/>
      <c r="H11" s="632"/>
      <c r="I11" s="642"/>
      <c r="J11" s="663"/>
      <c r="K11" s="649"/>
      <c r="L11" s="339"/>
      <c r="M11" s="664"/>
      <c r="N11" s="339"/>
      <c r="O11" s="339"/>
      <c r="P11" s="339"/>
      <c r="Q11" s="648"/>
      <c r="R11" s="339"/>
      <c r="S11" s="339"/>
      <c r="T11" s="339"/>
      <c r="U11" s="339"/>
      <c r="V11" s="648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</row>
    <row r="12" ht="15.75" customHeight="1">
      <c r="A12" s="665" t="s">
        <v>142</v>
      </c>
      <c r="B12" s="666"/>
      <c r="C12" s="666"/>
      <c r="D12" s="666"/>
      <c r="E12" s="666"/>
      <c r="F12" s="666"/>
      <c r="G12" s="667"/>
      <c r="H12" s="666"/>
      <c r="I12" s="668"/>
      <c r="J12" s="669"/>
      <c r="K12" s="670"/>
      <c r="L12" s="665"/>
      <c r="M12" s="671"/>
      <c r="N12" s="665"/>
      <c r="O12" s="665"/>
      <c r="P12" s="665"/>
      <c r="Q12" s="672"/>
      <c r="R12" s="665"/>
      <c r="S12" s="665"/>
      <c r="T12" s="665"/>
      <c r="U12" s="665"/>
      <c r="V12" s="672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</row>
    <row r="13" ht="15.75" customHeight="1">
      <c r="A13" s="665" t="s">
        <v>143</v>
      </c>
      <c r="B13" s="666"/>
      <c r="C13" s="666"/>
      <c r="D13" s="666"/>
      <c r="E13" s="666"/>
      <c r="F13" s="666"/>
      <c r="G13" s="667"/>
      <c r="H13" s="666"/>
      <c r="I13" s="668"/>
      <c r="J13" s="669"/>
      <c r="K13" s="670"/>
      <c r="L13" s="665"/>
      <c r="M13" s="671"/>
      <c r="N13" s="665"/>
      <c r="O13" s="665"/>
      <c r="P13" s="665"/>
      <c r="Q13" s="672"/>
      <c r="R13" s="665"/>
      <c r="S13" s="665"/>
      <c r="T13" s="665"/>
      <c r="U13" s="665"/>
      <c r="V13" s="672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</row>
    <row r="14" ht="15.75" customHeight="1">
      <c r="A14" s="665" t="s">
        <v>144</v>
      </c>
      <c r="B14" s="666"/>
      <c r="C14" s="666"/>
      <c r="D14" s="666"/>
      <c r="E14" s="666"/>
      <c r="F14" s="666"/>
      <c r="G14" s="667"/>
      <c r="H14" s="666"/>
      <c r="I14" s="668"/>
      <c r="J14" s="669"/>
      <c r="K14" s="670"/>
      <c r="L14" s="665"/>
      <c r="M14" s="671"/>
      <c r="N14" s="665"/>
      <c r="O14" s="665"/>
      <c r="P14" s="665"/>
      <c r="Q14" s="672"/>
      <c r="R14" s="665"/>
      <c r="S14" s="665"/>
      <c r="T14" s="665"/>
      <c r="U14" s="665"/>
      <c r="V14" s="672"/>
      <c r="W14" s="166"/>
      <c r="X14" s="166"/>
      <c r="Y14" s="166"/>
      <c r="Z14" s="166"/>
      <c r="AA14" s="166"/>
      <c r="AB14" s="166"/>
      <c r="AC14" s="166"/>
      <c r="AD14" s="166"/>
      <c r="AE14" s="166"/>
      <c r="AF14" s="166"/>
    </row>
    <row r="15" ht="15.75" customHeight="1">
      <c r="A15" s="665" t="s">
        <v>145</v>
      </c>
      <c r="B15" s="666"/>
      <c r="C15" s="666"/>
      <c r="D15" s="666"/>
      <c r="E15" s="666"/>
      <c r="F15" s="666"/>
      <c r="G15" s="667"/>
      <c r="H15" s="666"/>
      <c r="I15" s="668"/>
      <c r="J15" s="669"/>
      <c r="K15" s="670"/>
      <c r="L15" s="665"/>
      <c r="M15" s="671"/>
      <c r="N15" s="665"/>
      <c r="O15" s="665"/>
      <c r="P15" s="665"/>
      <c r="Q15" s="672"/>
      <c r="R15" s="665"/>
      <c r="S15" s="665"/>
      <c r="T15" s="665"/>
      <c r="U15" s="665"/>
      <c r="V15" s="672"/>
      <c r="W15" s="166"/>
      <c r="X15" s="166"/>
      <c r="Y15" s="166"/>
      <c r="Z15" s="166"/>
      <c r="AA15" s="166"/>
      <c r="AB15" s="166"/>
      <c r="AC15" s="166"/>
      <c r="AD15" s="166"/>
      <c r="AE15" s="166"/>
      <c r="AF15" s="166"/>
    </row>
    <row r="16" ht="15.75" customHeight="1">
      <c r="A16" s="166"/>
      <c r="B16" s="166"/>
      <c r="C16" s="166"/>
      <c r="D16" s="166"/>
      <c r="E16" s="166"/>
      <c r="F16" s="166"/>
      <c r="G16" s="272"/>
      <c r="H16" s="166"/>
      <c r="I16" s="673"/>
      <c r="J16" s="674"/>
      <c r="K16" s="675"/>
      <c r="L16" s="611"/>
      <c r="M16" s="676"/>
      <c r="N16" s="611"/>
      <c r="O16" s="611"/>
      <c r="P16" s="611"/>
      <c r="Q16" s="612"/>
      <c r="R16" s="611"/>
      <c r="S16" s="611"/>
      <c r="T16" s="611"/>
      <c r="U16" s="611"/>
      <c r="V16" s="612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</row>
    <row r="17" ht="15.75" customHeight="1">
      <c r="A17" s="166"/>
      <c r="B17" s="166"/>
      <c r="C17" s="166"/>
      <c r="D17" s="166"/>
      <c r="E17" s="166"/>
      <c r="F17" s="166"/>
      <c r="G17" s="272"/>
      <c r="H17" s="166"/>
      <c r="I17" s="588"/>
      <c r="J17" s="273"/>
      <c r="K17" s="167"/>
      <c r="L17" s="166"/>
      <c r="M17" s="284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</row>
    <row r="18" ht="15.75" customHeight="1">
      <c r="A18" s="166"/>
      <c r="B18" s="166"/>
      <c r="C18" s="166"/>
      <c r="D18" s="166"/>
      <c r="E18" s="166"/>
      <c r="F18" s="166"/>
      <c r="G18" s="166"/>
      <c r="H18" s="166"/>
      <c r="I18" s="588"/>
      <c r="J18" s="273"/>
      <c r="K18" s="167"/>
      <c r="L18" s="166"/>
      <c r="M18" s="284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</row>
    <row r="19" ht="15.75" customHeight="1">
      <c r="A19" s="166"/>
      <c r="B19" s="166"/>
      <c r="C19" s="166"/>
      <c r="D19" s="166"/>
      <c r="E19" s="166"/>
      <c r="F19" s="166"/>
      <c r="G19" s="272"/>
      <c r="H19" s="166"/>
      <c r="I19" s="588"/>
      <c r="J19" s="273"/>
      <c r="K19" s="167"/>
      <c r="L19" s="166"/>
      <c r="M19" s="284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</row>
    <row r="20" ht="15.75" customHeight="1">
      <c r="A20" s="166"/>
      <c r="B20" s="166"/>
      <c r="C20" s="166"/>
      <c r="D20" s="166"/>
      <c r="E20" s="166"/>
      <c r="F20" s="166"/>
      <c r="G20" s="272"/>
      <c r="H20" s="166"/>
      <c r="I20" s="588"/>
      <c r="J20" s="273"/>
      <c r="K20" s="167"/>
      <c r="L20" s="166"/>
      <c r="M20" s="284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</row>
    <row r="21" ht="15.75" customHeight="1">
      <c r="A21" s="166"/>
      <c r="B21" s="166"/>
      <c r="C21" s="166"/>
      <c r="D21" s="166"/>
      <c r="E21" s="166"/>
      <c r="F21" s="166"/>
      <c r="G21" s="272"/>
      <c r="H21" s="166"/>
      <c r="I21" s="588"/>
      <c r="J21" s="273"/>
      <c r="K21" s="167"/>
      <c r="L21" s="166"/>
      <c r="M21" s="284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</row>
    <row r="22" ht="15.75" customHeight="1">
      <c r="A22" s="166"/>
      <c r="B22" s="166"/>
      <c r="C22" s="166"/>
      <c r="D22" s="166"/>
      <c r="E22" s="166"/>
      <c r="F22" s="166"/>
      <c r="G22" s="272"/>
      <c r="H22" s="166"/>
      <c r="I22" s="588"/>
      <c r="J22" s="273"/>
      <c r="K22" s="167"/>
      <c r="L22" s="166"/>
      <c r="M22" s="284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  <c r="AB22" s="166"/>
      <c r="AC22" s="166"/>
      <c r="AD22" s="166"/>
      <c r="AE22" s="166"/>
      <c r="AF22" s="166"/>
    </row>
    <row r="23" ht="15.75" customHeight="1">
      <c r="A23" s="166"/>
      <c r="B23" s="166"/>
      <c r="C23" s="166"/>
      <c r="D23" s="166"/>
      <c r="E23" s="166"/>
      <c r="F23" s="166"/>
      <c r="G23" s="272"/>
      <c r="H23" s="166"/>
      <c r="I23" s="588"/>
      <c r="J23" s="273"/>
      <c r="K23" s="167"/>
      <c r="L23" s="166"/>
      <c r="M23" s="284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</row>
    <row r="24" ht="15.75" customHeight="1">
      <c r="A24" s="166"/>
      <c r="B24" s="166"/>
      <c r="C24" s="166"/>
      <c r="D24" s="166"/>
      <c r="E24" s="166"/>
      <c r="F24" s="166"/>
      <c r="G24" s="272"/>
      <c r="H24" s="166"/>
      <c r="I24" s="588"/>
      <c r="J24" s="273"/>
      <c r="K24" s="167"/>
      <c r="L24" s="166"/>
      <c r="M24" s="284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</row>
    <row r="25" ht="15.75" customHeight="1">
      <c r="A25" s="166"/>
      <c r="B25" s="166"/>
      <c r="C25" s="166"/>
      <c r="D25" s="166"/>
      <c r="E25" s="166"/>
      <c r="F25" s="166"/>
      <c r="G25" s="272"/>
      <c r="H25" s="166"/>
      <c r="I25" s="588"/>
      <c r="J25" s="273"/>
      <c r="K25" s="167"/>
      <c r="L25" s="166"/>
      <c r="M25" s="284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</row>
    <row r="26" ht="15.75" customHeight="1">
      <c r="A26" s="166"/>
      <c r="B26" s="166"/>
      <c r="C26" s="166"/>
      <c r="D26" s="166"/>
      <c r="E26" s="166"/>
      <c r="F26" s="166"/>
      <c r="G26" s="272"/>
      <c r="H26" s="166"/>
      <c r="I26" s="588"/>
      <c r="J26" s="273"/>
      <c r="K26" s="167"/>
      <c r="L26" s="166"/>
      <c r="M26" s="284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</row>
    <row r="27" ht="15.75" customHeight="1">
      <c r="A27" s="166"/>
      <c r="B27" s="166"/>
      <c r="C27" s="166"/>
      <c r="D27" s="166"/>
      <c r="E27" s="166"/>
      <c r="F27" s="166"/>
      <c r="G27" s="272"/>
      <c r="H27" s="166"/>
      <c r="I27" s="588"/>
      <c r="J27" s="273"/>
      <c r="K27" s="167"/>
      <c r="L27" s="166"/>
      <c r="M27" s="284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</row>
    <row r="28" ht="15.75" customHeight="1">
      <c r="A28" s="166"/>
      <c r="B28" s="166"/>
      <c r="C28" s="166"/>
      <c r="D28" s="166"/>
      <c r="E28" s="166"/>
      <c r="F28" s="166"/>
      <c r="G28" s="272"/>
      <c r="H28" s="166"/>
      <c r="I28" s="588"/>
      <c r="J28" s="273"/>
      <c r="K28" s="167"/>
      <c r="L28" s="166"/>
      <c r="M28" s="284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</row>
    <row r="29" ht="15.75" customHeight="1">
      <c r="A29" s="166"/>
      <c r="B29" s="166"/>
      <c r="C29" s="166"/>
      <c r="D29" s="166"/>
      <c r="E29" s="166"/>
      <c r="F29" s="166"/>
      <c r="G29" s="272"/>
      <c r="H29" s="166"/>
      <c r="I29" s="588"/>
      <c r="J29" s="273"/>
      <c r="K29" s="167"/>
      <c r="L29" s="166"/>
      <c r="M29" s="284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</row>
    <row r="30" ht="15.75" customHeight="1">
      <c r="A30" s="166"/>
      <c r="B30" s="166"/>
      <c r="C30" s="166"/>
      <c r="D30" s="166"/>
      <c r="E30" s="166"/>
      <c r="F30" s="166"/>
      <c r="G30" s="272"/>
      <c r="H30" s="166"/>
      <c r="I30" s="588"/>
      <c r="J30" s="273"/>
      <c r="K30" s="167"/>
      <c r="L30" s="166"/>
      <c r="M30" s="284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</row>
    <row r="31" ht="15.75" customHeight="1">
      <c r="A31" s="166"/>
      <c r="B31" s="166"/>
      <c r="C31" s="166"/>
      <c r="D31" s="166"/>
      <c r="E31" s="166"/>
      <c r="F31" s="166"/>
      <c r="G31" s="272"/>
      <c r="H31" s="166"/>
      <c r="I31" s="588"/>
      <c r="J31" s="273"/>
      <c r="K31" s="167"/>
      <c r="L31" s="166"/>
      <c r="M31" s="284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</row>
    <row r="32" ht="15.75" customHeight="1">
      <c r="A32" s="166"/>
      <c r="B32" s="166"/>
      <c r="C32" s="166"/>
      <c r="D32" s="166"/>
      <c r="E32" s="166"/>
      <c r="F32" s="166"/>
      <c r="G32" s="272"/>
      <c r="H32" s="166"/>
      <c r="I32" s="588"/>
      <c r="J32" s="273"/>
      <c r="K32" s="167"/>
      <c r="L32" s="166"/>
      <c r="M32" s="284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</row>
    <row r="33" ht="15.75" customHeight="1">
      <c r="A33" s="166"/>
      <c r="B33" s="166"/>
      <c r="C33" s="166"/>
      <c r="D33" s="166"/>
      <c r="E33" s="166"/>
      <c r="F33" s="166"/>
      <c r="G33" s="272"/>
      <c r="H33" s="166"/>
      <c r="I33" s="588"/>
      <c r="J33" s="273"/>
      <c r="K33" s="167"/>
      <c r="L33" s="166"/>
      <c r="M33" s="284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</row>
    <row r="34" ht="15.75" customHeight="1">
      <c r="A34" s="166"/>
      <c r="B34" s="166"/>
      <c r="C34" s="166"/>
      <c r="D34" s="166"/>
      <c r="E34" s="166"/>
      <c r="F34" s="166"/>
      <c r="G34" s="272"/>
      <c r="H34" s="166"/>
      <c r="I34" s="588"/>
      <c r="J34" s="273"/>
      <c r="K34" s="167"/>
      <c r="L34" s="166"/>
      <c r="M34" s="284"/>
      <c r="N34" s="166"/>
      <c r="O34" s="166"/>
      <c r="P34" s="166"/>
      <c r="Q34" s="166"/>
      <c r="R34" s="166"/>
      <c r="S34" s="166"/>
      <c r="T34" s="166"/>
      <c r="U34" s="166"/>
      <c r="V34" s="284"/>
      <c r="W34" s="284"/>
      <c r="X34" s="284"/>
      <c r="Y34" s="284"/>
      <c r="Z34" s="588"/>
      <c r="AA34" s="284"/>
      <c r="AB34" s="284"/>
      <c r="AC34" s="166"/>
      <c r="AD34" s="166"/>
      <c r="AE34" s="166"/>
      <c r="AF34" s="166"/>
    </row>
    <row r="35" ht="15.75" customHeight="1">
      <c r="A35" s="166"/>
      <c r="B35" s="166"/>
      <c r="C35" s="166"/>
      <c r="D35" s="166"/>
      <c r="E35" s="166"/>
      <c r="F35" s="166"/>
      <c r="G35" s="272"/>
      <c r="H35" s="166"/>
      <c r="I35" s="588"/>
      <c r="J35" s="273"/>
      <c r="K35" s="167"/>
      <c r="L35" s="166"/>
      <c r="M35" s="284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273"/>
      <c r="Z35" s="273"/>
      <c r="AA35" s="273"/>
      <c r="AB35" s="273"/>
      <c r="AC35" s="166"/>
      <c r="AD35" s="166"/>
      <c r="AE35" s="166"/>
      <c r="AF35" s="166"/>
    </row>
    <row r="36" ht="15.75" customHeight="1">
      <c r="A36" s="166"/>
      <c r="B36" s="166"/>
      <c r="C36" s="166"/>
      <c r="D36" s="166"/>
      <c r="E36" s="166"/>
      <c r="F36" s="166"/>
      <c r="G36" s="272"/>
      <c r="H36" s="166"/>
      <c r="I36" s="588"/>
      <c r="J36" s="273"/>
      <c r="K36" s="167"/>
      <c r="L36" s="166"/>
      <c r="M36" s="284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273"/>
      <c r="Z36" s="272"/>
      <c r="AA36" s="273"/>
      <c r="AB36" s="273"/>
      <c r="AC36" s="166"/>
      <c r="AD36" s="166"/>
      <c r="AE36" s="166"/>
      <c r="AF36" s="166"/>
    </row>
    <row r="37" ht="15.75" customHeight="1">
      <c r="A37" s="166"/>
      <c r="B37" s="166"/>
      <c r="C37" s="166"/>
      <c r="D37" s="166"/>
      <c r="E37" s="166"/>
      <c r="F37" s="166"/>
      <c r="G37" s="272"/>
      <c r="H37" s="166"/>
      <c r="I37" s="588"/>
      <c r="J37" s="273"/>
      <c r="K37" s="167"/>
      <c r="L37" s="166"/>
      <c r="M37" s="284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273"/>
      <c r="Z37" s="272"/>
      <c r="AA37" s="273"/>
      <c r="AB37" s="166"/>
      <c r="AC37" s="166"/>
      <c r="AD37" s="166"/>
      <c r="AE37" s="166"/>
      <c r="AF37" s="166"/>
    </row>
    <row r="38" ht="15.75" customHeight="1">
      <c r="A38" s="166"/>
      <c r="B38" s="166"/>
      <c r="C38" s="166"/>
      <c r="D38" s="166"/>
      <c r="E38" s="166"/>
      <c r="F38" s="166"/>
      <c r="G38" s="272"/>
      <c r="H38" s="166"/>
      <c r="I38" s="588"/>
      <c r="J38" s="273"/>
      <c r="K38" s="167"/>
      <c r="L38" s="166"/>
      <c r="M38" s="284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273"/>
      <c r="Z38" s="272"/>
      <c r="AA38" s="273"/>
      <c r="AB38" s="273"/>
      <c r="AC38" s="166"/>
      <c r="AD38" s="166"/>
      <c r="AE38" s="166"/>
      <c r="AF38" s="166"/>
    </row>
    <row r="39" ht="15.75" customHeight="1">
      <c r="A39" s="166"/>
      <c r="B39" s="166"/>
      <c r="C39" s="166"/>
      <c r="D39" s="166"/>
      <c r="E39" s="166"/>
      <c r="F39" s="166"/>
      <c r="G39" s="272"/>
      <c r="H39" s="166"/>
      <c r="I39" s="588"/>
      <c r="J39" s="273"/>
      <c r="K39" s="167"/>
      <c r="L39" s="166"/>
      <c r="M39" s="284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273"/>
      <c r="Z39" s="272"/>
      <c r="AA39" s="273"/>
      <c r="AB39" s="273"/>
      <c r="AC39" s="166"/>
      <c r="AD39" s="166"/>
      <c r="AE39" s="166"/>
      <c r="AF39" s="166"/>
    </row>
    <row r="40" ht="15.75" customHeight="1">
      <c r="A40" s="166"/>
      <c r="B40" s="166"/>
      <c r="C40" s="166"/>
      <c r="D40" s="166"/>
      <c r="E40" s="166"/>
      <c r="F40" s="166"/>
      <c r="G40" s="272"/>
      <c r="H40" s="166"/>
      <c r="I40" s="588"/>
      <c r="J40" s="273"/>
      <c r="K40" s="167"/>
      <c r="L40" s="166"/>
      <c r="M40" s="284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273"/>
      <c r="Z40" s="272"/>
      <c r="AA40" s="273"/>
      <c r="AB40" s="273"/>
      <c r="AC40" s="166"/>
      <c r="AD40" s="166"/>
      <c r="AE40" s="166"/>
      <c r="AF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588"/>
      <c r="J41" s="273"/>
      <c r="K41" s="167"/>
      <c r="L41" s="166"/>
      <c r="M41" s="284"/>
      <c r="N41" s="166"/>
      <c r="O41" s="166"/>
      <c r="P41" s="166"/>
      <c r="Q41" s="166"/>
      <c r="R41" s="166"/>
      <c r="S41" s="284"/>
      <c r="T41" s="166"/>
      <c r="U41" s="166"/>
      <c r="V41" s="166"/>
      <c r="W41" s="166"/>
      <c r="X41" s="166"/>
      <c r="Y41" s="272"/>
      <c r="Z41" s="272"/>
      <c r="AA41" s="272"/>
      <c r="AB41" s="272"/>
      <c r="AC41" s="166"/>
      <c r="AD41" s="166"/>
      <c r="AE41" s="166"/>
      <c r="AF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588"/>
      <c r="J42" s="273"/>
      <c r="K42" s="167"/>
      <c r="L42" s="166"/>
      <c r="M42" s="284"/>
      <c r="N42" s="166"/>
      <c r="O42" s="166"/>
      <c r="P42" s="166"/>
      <c r="Q42" s="166"/>
      <c r="R42" s="166"/>
      <c r="S42" s="284"/>
      <c r="T42" s="166"/>
      <c r="U42" s="166"/>
      <c r="V42" s="166"/>
      <c r="W42" s="166"/>
      <c r="X42" s="166"/>
      <c r="Y42" s="272"/>
      <c r="Z42" s="272"/>
      <c r="AA42" s="272"/>
      <c r="AB42" s="272"/>
      <c r="AC42" s="166"/>
      <c r="AD42" s="166"/>
      <c r="AE42" s="166"/>
      <c r="AF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588"/>
      <c r="J43" s="273"/>
      <c r="K43" s="167"/>
      <c r="L43" s="166"/>
      <c r="M43" s="284"/>
      <c r="N43" s="166"/>
      <c r="O43" s="166"/>
      <c r="P43" s="166"/>
      <c r="Q43" s="166"/>
      <c r="R43" s="166"/>
      <c r="S43" s="284"/>
      <c r="T43" s="166"/>
      <c r="U43" s="166"/>
      <c r="V43" s="166"/>
      <c r="W43" s="166"/>
      <c r="X43" s="166"/>
      <c r="Y43" s="272"/>
      <c r="Z43" s="272"/>
      <c r="AA43" s="272"/>
      <c r="AB43" s="272"/>
      <c r="AC43" s="166"/>
      <c r="AD43" s="166"/>
      <c r="AE43" s="166"/>
      <c r="AF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588"/>
      <c r="J44" s="273"/>
      <c r="K44" s="167"/>
      <c r="L44" s="166"/>
      <c r="M44" s="284"/>
      <c r="N44" s="166"/>
      <c r="O44" s="166"/>
      <c r="P44" s="166"/>
      <c r="Q44" s="166"/>
      <c r="R44" s="166"/>
      <c r="S44" s="284"/>
      <c r="T44" s="166"/>
      <c r="U44" s="166"/>
      <c r="V44" s="166"/>
      <c r="W44" s="166"/>
      <c r="X44" s="166"/>
      <c r="Y44" s="272"/>
      <c r="Z44" s="272"/>
      <c r="AA44" s="272"/>
      <c r="AB44" s="272"/>
      <c r="AC44" s="166"/>
      <c r="AD44" s="166"/>
      <c r="AE44" s="166"/>
      <c r="AF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588"/>
      <c r="J45" s="273"/>
      <c r="K45" s="167"/>
      <c r="L45" s="166"/>
      <c r="M45" s="284"/>
      <c r="N45" s="166"/>
      <c r="O45" s="166"/>
      <c r="P45" s="166"/>
      <c r="Q45" s="166"/>
      <c r="R45" s="166"/>
      <c r="S45" s="284"/>
      <c r="T45" s="166"/>
      <c r="U45" s="166"/>
      <c r="V45" s="166"/>
      <c r="W45" s="166"/>
      <c r="X45" s="166"/>
      <c r="Y45" s="272"/>
      <c r="Z45" s="272"/>
      <c r="AA45" s="272"/>
      <c r="AB45" s="272"/>
      <c r="AC45" s="166"/>
      <c r="AD45" s="166"/>
      <c r="AE45" s="166"/>
      <c r="AF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588"/>
      <c r="J46" s="273"/>
      <c r="K46" s="167"/>
      <c r="L46" s="166"/>
      <c r="M46" s="284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588"/>
      <c r="J47" s="273"/>
      <c r="K47" s="167"/>
      <c r="L47" s="166"/>
      <c r="M47" s="284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588"/>
      <c r="J48" s="273"/>
      <c r="K48" s="167"/>
      <c r="L48" s="166"/>
      <c r="M48" s="284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588"/>
      <c r="J49" s="273"/>
      <c r="K49" s="167"/>
      <c r="L49" s="166"/>
      <c r="M49" s="284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588"/>
      <c r="J50" s="273"/>
      <c r="K50" s="167"/>
      <c r="L50" s="166"/>
      <c r="M50" s="284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588"/>
      <c r="J51" s="273"/>
      <c r="K51" s="167"/>
      <c r="L51" s="166"/>
      <c r="M51" s="284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588"/>
      <c r="J52" s="273"/>
      <c r="K52" s="167"/>
      <c r="L52" s="166"/>
      <c r="M52" s="284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588"/>
      <c r="J53" s="273"/>
      <c r="K53" s="167"/>
      <c r="L53" s="166"/>
      <c r="M53" s="284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588"/>
      <c r="J54" s="273"/>
      <c r="K54" s="167"/>
      <c r="L54" s="166"/>
      <c r="M54" s="284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588"/>
      <c r="J55" s="273"/>
      <c r="K55" s="167"/>
      <c r="L55" s="166"/>
      <c r="M55" s="284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588"/>
      <c r="J56" s="273"/>
      <c r="K56" s="167"/>
      <c r="L56" s="166"/>
      <c r="M56" s="284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  <c r="AC56" s="166"/>
      <c r="AD56" s="166"/>
      <c r="AE56" s="166"/>
      <c r="AF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588"/>
      <c r="J57" s="273"/>
      <c r="K57" s="167"/>
      <c r="L57" s="166"/>
      <c r="M57" s="284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  <c r="AC57" s="166"/>
      <c r="AD57" s="166"/>
      <c r="AE57" s="166"/>
      <c r="AF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588"/>
      <c r="J58" s="273"/>
      <c r="K58" s="167"/>
      <c r="L58" s="166"/>
      <c r="M58" s="284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  <c r="AC58" s="166"/>
      <c r="AD58" s="166"/>
      <c r="AE58" s="166"/>
      <c r="AF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588"/>
      <c r="J59" s="273"/>
      <c r="K59" s="167"/>
      <c r="L59" s="166"/>
      <c r="M59" s="284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  <c r="AC59" s="166"/>
      <c r="AD59" s="166"/>
      <c r="AE59" s="166"/>
      <c r="AF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588"/>
      <c r="J60" s="273"/>
      <c r="K60" s="167"/>
      <c r="L60" s="166"/>
      <c r="M60" s="284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  <c r="AC60" s="166"/>
      <c r="AD60" s="166"/>
      <c r="AE60" s="166"/>
      <c r="AF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588"/>
      <c r="J61" s="273"/>
      <c r="K61" s="167"/>
      <c r="L61" s="166"/>
      <c r="M61" s="284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  <c r="AC61" s="166"/>
      <c r="AD61" s="166"/>
      <c r="AE61" s="166"/>
      <c r="AF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588"/>
      <c r="J62" s="273"/>
      <c r="K62" s="167"/>
      <c r="L62" s="166"/>
      <c r="M62" s="284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588"/>
      <c r="J63" s="273"/>
      <c r="K63" s="167"/>
      <c r="L63" s="166"/>
      <c r="M63" s="284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  <c r="AC63" s="166"/>
      <c r="AD63" s="166"/>
      <c r="AE63" s="166"/>
      <c r="AF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588"/>
      <c r="J64" s="273"/>
      <c r="K64" s="167"/>
      <c r="L64" s="166"/>
      <c r="M64" s="284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  <c r="AC64" s="166"/>
      <c r="AD64" s="166"/>
      <c r="AE64" s="166"/>
      <c r="AF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588"/>
      <c r="J65" s="273"/>
      <c r="K65" s="167"/>
      <c r="L65" s="166"/>
      <c r="M65" s="284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588"/>
      <c r="J66" s="273"/>
      <c r="K66" s="167"/>
      <c r="L66" s="166"/>
      <c r="M66" s="284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  <c r="AC66" s="166"/>
      <c r="AD66" s="166"/>
      <c r="AE66" s="166"/>
      <c r="AF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588"/>
      <c r="J67" s="273"/>
      <c r="K67" s="167"/>
      <c r="L67" s="166"/>
      <c r="M67" s="284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  <c r="AC67" s="166"/>
      <c r="AD67" s="166"/>
      <c r="AE67" s="166"/>
      <c r="AF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588"/>
      <c r="J68" s="273"/>
      <c r="K68" s="167"/>
      <c r="L68" s="166"/>
      <c r="M68" s="284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  <c r="AC68" s="166"/>
      <c r="AD68" s="166"/>
      <c r="AE68" s="166"/>
      <c r="AF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588"/>
      <c r="J69" s="273"/>
      <c r="K69" s="167"/>
      <c r="L69" s="166"/>
      <c r="M69" s="284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  <c r="AF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588"/>
      <c r="J70" s="273"/>
      <c r="K70" s="167"/>
      <c r="L70" s="166"/>
      <c r="M70" s="284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  <c r="AC70" s="166"/>
      <c r="AD70" s="166"/>
      <c r="AE70" s="166"/>
      <c r="AF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588"/>
      <c r="J71" s="273"/>
      <c r="K71" s="167"/>
      <c r="L71" s="166"/>
      <c r="M71" s="284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E71" s="166"/>
      <c r="AF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588"/>
      <c r="J72" s="273"/>
      <c r="K72" s="167"/>
      <c r="L72" s="166"/>
      <c r="M72" s="284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  <c r="AC72" s="166"/>
      <c r="AD72" s="166"/>
      <c r="AE72" s="166"/>
      <c r="AF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588"/>
      <c r="J73" s="273"/>
      <c r="K73" s="167"/>
      <c r="L73" s="166"/>
      <c r="M73" s="284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588"/>
      <c r="J74" s="273"/>
      <c r="K74" s="167"/>
      <c r="L74" s="166"/>
      <c r="M74" s="284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588"/>
      <c r="J75" s="273"/>
      <c r="K75" s="167"/>
      <c r="L75" s="166"/>
      <c r="M75" s="284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588"/>
      <c r="J76" s="273"/>
      <c r="K76" s="167"/>
      <c r="L76" s="166"/>
      <c r="M76" s="284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588"/>
      <c r="J77" s="273"/>
      <c r="K77" s="167"/>
      <c r="L77" s="166"/>
      <c r="M77" s="284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588"/>
      <c r="J78" s="273"/>
      <c r="K78" s="167"/>
      <c r="L78" s="166"/>
      <c r="M78" s="284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588"/>
      <c r="J79" s="273"/>
      <c r="K79" s="167"/>
      <c r="L79" s="166"/>
      <c r="M79" s="284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588"/>
      <c r="J80" s="273"/>
      <c r="K80" s="167"/>
      <c r="L80" s="166"/>
      <c r="M80" s="284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588"/>
      <c r="J81" s="273"/>
      <c r="K81" s="167"/>
      <c r="L81" s="166"/>
      <c r="M81" s="284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  <c r="AC81" s="166"/>
      <c r="AD81" s="166"/>
      <c r="AE81" s="166"/>
      <c r="AF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588"/>
      <c r="J82" s="273"/>
      <c r="K82" s="167"/>
      <c r="L82" s="166"/>
      <c r="M82" s="284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  <c r="AC82" s="166"/>
      <c r="AD82" s="166"/>
      <c r="AE82" s="166"/>
      <c r="AF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588"/>
      <c r="J83" s="273"/>
      <c r="K83" s="167"/>
      <c r="L83" s="166"/>
      <c r="M83" s="284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  <c r="AC83" s="166"/>
      <c r="AD83" s="166"/>
      <c r="AE83" s="166"/>
      <c r="AF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588"/>
      <c r="J84" s="273"/>
      <c r="K84" s="167"/>
      <c r="L84" s="166"/>
      <c r="M84" s="284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  <c r="AC84" s="166"/>
      <c r="AD84" s="166"/>
      <c r="AE84" s="166"/>
      <c r="AF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588"/>
      <c r="J85" s="273"/>
      <c r="K85" s="167"/>
      <c r="L85" s="166"/>
      <c r="M85" s="284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  <c r="AC85" s="166"/>
      <c r="AD85" s="166"/>
      <c r="AE85" s="166"/>
      <c r="AF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588"/>
      <c r="J86" s="273"/>
      <c r="K86" s="167"/>
      <c r="L86" s="166"/>
      <c r="M86" s="284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  <c r="AC86" s="166"/>
      <c r="AD86" s="166"/>
      <c r="AE86" s="166"/>
      <c r="AF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588"/>
      <c r="J87" s="273"/>
      <c r="K87" s="167"/>
      <c r="L87" s="166"/>
      <c r="M87" s="284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  <c r="AC87" s="166"/>
      <c r="AD87" s="166"/>
      <c r="AE87" s="166"/>
      <c r="AF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588"/>
      <c r="J88" s="273"/>
      <c r="K88" s="167"/>
      <c r="L88" s="166"/>
      <c r="M88" s="284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  <c r="AC88" s="166"/>
      <c r="AD88" s="166"/>
      <c r="AE88" s="166"/>
      <c r="AF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588"/>
      <c r="J89" s="273"/>
      <c r="K89" s="167"/>
      <c r="L89" s="166"/>
      <c r="M89" s="284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588"/>
      <c r="J90" s="273"/>
      <c r="K90" s="167"/>
      <c r="L90" s="166"/>
      <c r="M90" s="284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  <c r="AC90" s="166"/>
      <c r="AD90" s="166"/>
      <c r="AE90" s="166"/>
      <c r="AF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588"/>
      <c r="J91" s="273"/>
      <c r="K91" s="167"/>
      <c r="L91" s="166"/>
      <c r="M91" s="284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  <c r="AC91" s="166"/>
      <c r="AD91" s="166"/>
      <c r="AE91" s="166"/>
      <c r="AF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588"/>
      <c r="J92" s="273"/>
      <c r="K92" s="167"/>
      <c r="L92" s="166"/>
      <c r="M92" s="284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  <c r="AC92" s="166"/>
      <c r="AD92" s="166"/>
      <c r="AE92" s="166"/>
      <c r="AF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588"/>
      <c r="J93" s="273"/>
      <c r="K93" s="167"/>
      <c r="L93" s="166"/>
      <c r="M93" s="284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E93" s="166"/>
      <c r="AF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588"/>
      <c r="J94" s="273"/>
      <c r="K94" s="167"/>
      <c r="L94" s="166"/>
      <c r="M94" s="284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  <c r="AC94" s="166"/>
      <c r="AD94" s="166"/>
      <c r="AE94" s="166"/>
      <c r="AF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588"/>
      <c r="J95" s="273"/>
      <c r="K95" s="167"/>
      <c r="L95" s="166"/>
      <c r="M95" s="284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  <c r="AC95" s="166"/>
      <c r="AD95" s="166"/>
      <c r="AE95" s="166"/>
      <c r="AF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588"/>
      <c r="J96" s="273"/>
      <c r="K96" s="167"/>
      <c r="L96" s="166"/>
      <c r="M96" s="284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  <c r="AC96" s="166"/>
      <c r="AD96" s="166"/>
      <c r="AE96" s="166"/>
      <c r="AF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588"/>
      <c r="J97" s="273"/>
      <c r="K97" s="167"/>
      <c r="L97" s="166"/>
      <c r="M97" s="284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  <c r="AC97" s="166"/>
      <c r="AD97" s="166"/>
      <c r="AE97" s="166"/>
      <c r="AF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588"/>
      <c r="J98" s="273"/>
      <c r="K98" s="167"/>
      <c r="L98" s="166"/>
      <c r="M98" s="284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588"/>
      <c r="J99" s="273"/>
      <c r="K99" s="167"/>
      <c r="L99" s="166"/>
      <c r="M99" s="284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  <c r="AC99" s="166"/>
      <c r="AD99" s="166"/>
      <c r="AE99" s="166"/>
      <c r="AF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588"/>
      <c r="J100" s="273"/>
      <c r="K100" s="167"/>
      <c r="L100" s="166"/>
      <c r="M100" s="284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  <c r="AC100" s="166"/>
      <c r="AD100" s="166"/>
      <c r="AE100" s="166"/>
      <c r="AF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588"/>
      <c r="J101" s="273"/>
      <c r="K101" s="167"/>
      <c r="L101" s="166"/>
      <c r="M101" s="284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  <c r="AC101" s="166"/>
      <c r="AD101" s="166"/>
      <c r="AE101" s="166"/>
      <c r="AF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588"/>
      <c r="J102" s="273"/>
      <c r="K102" s="167"/>
      <c r="L102" s="166"/>
      <c r="M102" s="284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  <c r="AC102" s="166"/>
      <c r="AD102" s="166"/>
      <c r="AE102" s="166"/>
      <c r="AF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588"/>
      <c r="J103" s="273"/>
      <c r="K103" s="167"/>
      <c r="L103" s="166"/>
      <c r="M103" s="284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  <c r="AC103" s="166"/>
      <c r="AD103" s="166"/>
      <c r="AE103" s="166"/>
      <c r="AF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588"/>
      <c r="J104" s="273"/>
      <c r="K104" s="167"/>
      <c r="L104" s="166"/>
      <c r="M104" s="284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588"/>
      <c r="J105" s="273"/>
      <c r="K105" s="167"/>
      <c r="L105" s="166"/>
      <c r="M105" s="284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588"/>
      <c r="J106" s="273"/>
      <c r="K106" s="167"/>
      <c r="L106" s="166"/>
      <c r="M106" s="284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588"/>
      <c r="J107" s="273"/>
      <c r="K107" s="167"/>
      <c r="L107" s="166"/>
      <c r="M107" s="284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  <c r="AC107" s="166"/>
      <c r="AD107" s="166"/>
      <c r="AE107" s="166"/>
      <c r="AF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588"/>
      <c r="J108" s="273"/>
      <c r="K108" s="167"/>
      <c r="L108" s="166"/>
      <c r="M108" s="284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588"/>
      <c r="J109" s="273"/>
      <c r="K109" s="167"/>
      <c r="L109" s="166"/>
      <c r="M109" s="284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E109" s="166"/>
      <c r="AF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588"/>
      <c r="J110" s="273"/>
      <c r="K110" s="167"/>
      <c r="L110" s="166"/>
      <c r="M110" s="284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  <c r="AC110" s="166"/>
      <c r="AD110" s="166"/>
      <c r="AE110" s="166"/>
      <c r="AF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588"/>
      <c r="J111" s="273"/>
      <c r="K111" s="167"/>
      <c r="L111" s="166"/>
      <c r="M111" s="284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  <c r="AC111" s="166"/>
      <c r="AD111" s="166"/>
      <c r="AE111" s="166"/>
      <c r="AF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588"/>
      <c r="J112" s="273"/>
      <c r="K112" s="167"/>
      <c r="L112" s="166"/>
      <c r="M112" s="284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  <c r="AC112" s="166"/>
      <c r="AD112" s="166"/>
      <c r="AE112" s="166"/>
      <c r="AF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588"/>
      <c r="J113" s="273"/>
      <c r="K113" s="167"/>
      <c r="L113" s="166"/>
      <c r="M113" s="284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  <c r="AC113" s="166"/>
      <c r="AD113" s="166"/>
      <c r="AE113" s="166"/>
      <c r="AF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588"/>
      <c r="J114" s="273"/>
      <c r="K114" s="167"/>
      <c r="L114" s="166"/>
      <c r="M114" s="284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  <c r="AC114" s="166"/>
      <c r="AD114" s="166"/>
      <c r="AE114" s="166"/>
      <c r="AF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588"/>
      <c r="J115" s="273"/>
      <c r="K115" s="167"/>
      <c r="L115" s="166"/>
      <c r="M115" s="284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  <c r="AC115" s="166"/>
      <c r="AD115" s="166"/>
      <c r="AE115" s="166"/>
      <c r="AF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588"/>
      <c r="J116" s="273"/>
      <c r="K116" s="167"/>
      <c r="L116" s="166"/>
      <c r="M116" s="284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  <c r="AC116" s="166"/>
      <c r="AD116" s="166"/>
      <c r="AE116" s="166"/>
      <c r="AF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588"/>
      <c r="J117" s="273"/>
      <c r="K117" s="167"/>
      <c r="L117" s="166"/>
      <c r="M117" s="284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  <c r="AC117" s="166"/>
      <c r="AD117" s="166"/>
      <c r="AE117" s="166"/>
      <c r="AF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588"/>
      <c r="J118" s="273"/>
      <c r="K118" s="167"/>
      <c r="L118" s="166"/>
      <c r="M118" s="284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  <c r="AC118" s="166"/>
      <c r="AD118" s="166"/>
      <c r="AE118" s="166"/>
      <c r="AF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588"/>
      <c r="J119" s="273"/>
      <c r="K119" s="167"/>
      <c r="L119" s="166"/>
      <c r="M119" s="284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588"/>
      <c r="J120" s="273"/>
      <c r="K120" s="167"/>
      <c r="L120" s="166"/>
      <c r="M120" s="284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  <c r="AC120" s="166"/>
      <c r="AD120" s="166"/>
      <c r="AE120" s="166"/>
      <c r="AF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588"/>
      <c r="J121" s="273"/>
      <c r="K121" s="167"/>
      <c r="L121" s="166"/>
      <c r="M121" s="284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  <c r="AC121" s="166"/>
      <c r="AD121" s="166"/>
      <c r="AE121" s="166"/>
      <c r="AF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588"/>
      <c r="J122" s="273"/>
      <c r="K122" s="167"/>
      <c r="L122" s="166"/>
      <c r="M122" s="284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588"/>
      <c r="J123" s="273"/>
      <c r="K123" s="167"/>
      <c r="L123" s="166"/>
      <c r="M123" s="284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  <c r="AC123" s="166"/>
      <c r="AD123" s="166"/>
      <c r="AE123" s="166"/>
      <c r="AF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588"/>
      <c r="J124" s="273"/>
      <c r="K124" s="167"/>
      <c r="L124" s="166"/>
      <c r="M124" s="284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  <c r="AC124" s="166"/>
      <c r="AD124" s="166"/>
      <c r="AE124" s="166"/>
      <c r="AF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588"/>
      <c r="J125" s="273"/>
      <c r="K125" s="167"/>
      <c r="L125" s="166"/>
      <c r="M125" s="284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  <c r="AC125" s="166"/>
      <c r="AD125" s="166"/>
      <c r="AE125" s="166"/>
      <c r="AF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588"/>
      <c r="J126" s="273"/>
      <c r="K126" s="167"/>
      <c r="L126" s="166"/>
      <c r="M126" s="284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  <c r="AC126" s="166"/>
      <c r="AD126" s="166"/>
      <c r="AE126" s="166"/>
      <c r="AF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588"/>
      <c r="J127" s="273"/>
      <c r="K127" s="167"/>
      <c r="L127" s="166"/>
      <c r="M127" s="284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E127" s="166"/>
      <c r="AF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588"/>
      <c r="J128" s="273"/>
      <c r="K128" s="167"/>
      <c r="L128" s="166"/>
      <c r="M128" s="284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E128" s="166"/>
      <c r="AF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588"/>
      <c r="J129" s="273"/>
      <c r="K129" s="167"/>
      <c r="L129" s="166"/>
      <c r="M129" s="284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  <c r="AC129" s="166"/>
      <c r="AD129" s="166"/>
      <c r="AE129" s="166"/>
      <c r="AF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588"/>
      <c r="J130" s="273"/>
      <c r="K130" s="167"/>
      <c r="L130" s="166"/>
      <c r="M130" s="284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  <c r="AC130" s="166"/>
      <c r="AD130" s="166"/>
      <c r="AE130" s="166"/>
      <c r="AF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588"/>
      <c r="J131" s="273"/>
      <c r="K131" s="167"/>
      <c r="L131" s="166"/>
      <c r="M131" s="284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  <c r="AC131" s="166"/>
      <c r="AD131" s="166"/>
      <c r="AE131" s="166"/>
      <c r="AF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588"/>
      <c r="J132" s="273"/>
      <c r="K132" s="167"/>
      <c r="L132" s="166"/>
      <c r="M132" s="284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588"/>
      <c r="J133" s="273"/>
      <c r="K133" s="167"/>
      <c r="L133" s="166"/>
      <c r="M133" s="284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  <c r="AC133" s="166"/>
      <c r="AD133" s="166"/>
      <c r="AE133" s="166"/>
      <c r="AF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588"/>
      <c r="J134" s="273"/>
      <c r="K134" s="167"/>
      <c r="L134" s="166"/>
      <c r="M134" s="284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  <c r="AC134" s="166"/>
      <c r="AD134" s="166"/>
      <c r="AE134" s="166"/>
      <c r="AF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588"/>
      <c r="J135" s="273"/>
      <c r="K135" s="167"/>
      <c r="L135" s="166"/>
      <c r="M135" s="284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  <c r="AC135" s="166"/>
      <c r="AD135" s="166"/>
      <c r="AE135" s="166"/>
      <c r="AF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588"/>
      <c r="J136" s="273"/>
      <c r="K136" s="167"/>
      <c r="L136" s="166"/>
      <c r="M136" s="284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  <c r="AC136" s="166"/>
      <c r="AD136" s="166"/>
      <c r="AE136" s="166"/>
      <c r="AF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588"/>
      <c r="J137" s="273"/>
      <c r="K137" s="167"/>
      <c r="L137" s="166"/>
      <c r="M137" s="284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  <c r="AC137" s="166"/>
      <c r="AD137" s="166"/>
      <c r="AE137" s="166"/>
      <c r="AF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588"/>
      <c r="J138" s="273"/>
      <c r="K138" s="167"/>
      <c r="L138" s="166"/>
      <c r="M138" s="284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  <c r="AC138" s="166"/>
      <c r="AD138" s="166"/>
      <c r="AE138" s="166"/>
      <c r="AF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588"/>
      <c r="J139" s="273"/>
      <c r="K139" s="167"/>
      <c r="L139" s="166"/>
      <c r="M139" s="284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  <c r="AC139" s="166"/>
      <c r="AD139" s="166"/>
      <c r="AE139" s="166"/>
      <c r="AF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588"/>
      <c r="J140" s="273"/>
      <c r="K140" s="167"/>
      <c r="L140" s="166"/>
      <c r="M140" s="284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  <c r="AC140" s="166"/>
      <c r="AD140" s="166"/>
      <c r="AE140" s="166"/>
      <c r="AF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588"/>
      <c r="J141" s="273"/>
      <c r="K141" s="167"/>
      <c r="L141" s="166"/>
      <c r="M141" s="284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  <c r="AC141" s="166"/>
      <c r="AD141" s="166"/>
      <c r="AE141" s="166"/>
      <c r="AF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588"/>
      <c r="J142" s="273"/>
      <c r="K142" s="167"/>
      <c r="L142" s="166"/>
      <c r="M142" s="284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  <c r="AC142" s="166"/>
      <c r="AD142" s="166"/>
      <c r="AE142" s="166"/>
      <c r="AF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588"/>
      <c r="J143" s="273"/>
      <c r="K143" s="167"/>
      <c r="L143" s="166"/>
      <c r="M143" s="284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  <c r="AC143" s="166"/>
      <c r="AD143" s="166"/>
      <c r="AE143" s="166"/>
      <c r="AF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588"/>
      <c r="J144" s="273"/>
      <c r="K144" s="167"/>
      <c r="L144" s="166"/>
      <c r="M144" s="284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  <c r="AC144" s="166"/>
      <c r="AD144" s="166"/>
      <c r="AE144" s="166"/>
      <c r="AF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588"/>
      <c r="J145" s="273"/>
      <c r="K145" s="167"/>
      <c r="L145" s="166"/>
      <c r="M145" s="284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  <c r="AC145" s="166"/>
      <c r="AD145" s="166"/>
      <c r="AE145" s="166"/>
      <c r="AF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588"/>
      <c r="J146" s="273"/>
      <c r="K146" s="167"/>
      <c r="L146" s="166"/>
      <c r="M146" s="284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588"/>
      <c r="J147" s="273"/>
      <c r="K147" s="167"/>
      <c r="L147" s="166"/>
      <c r="M147" s="284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588"/>
      <c r="J148" s="273"/>
      <c r="K148" s="167"/>
      <c r="L148" s="166"/>
      <c r="M148" s="284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588"/>
      <c r="J149" s="273"/>
      <c r="K149" s="167"/>
      <c r="L149" s="166"/>
      <c r="M149" s="284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588"/>
      <c r="J150" s="273"/>
      <c r="K150" s="167"/>
      <c r="L150" s="166"/>
      <c r="M150" s="284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588"/>
      <c r="J151" s="273"/>
      <c r="K151" s="167"/>
      <c r="L151" s="166"/>
      <c r="M151" s="284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588"/>
      <c r="J152" s="273"/>
      <c r="K152" s="167"/>
      <c r="L152" s="166"/>
      <c r="M152" s="284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588"/>
      <c r="J153" s="273"/>
      <c r="K153" s="167"/>
      <c r="L153" s="166"/>
      <c r="M153" s="284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588"/>
      <c r="J154" s="273"/>
      <c r="K154" s="167"/>
      <c r="L154" s="166"/>
      <c r="M154" s="284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588"/>
      <c r="J155" s="273"/>
      <c r="K155" s="167"/>
      <c r="L155" s="166"/>
      <c r="M155" s="284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588"/>
      <c r="J156" s="273"/>
      <c r="K156" s="167"/>
      <c r="L156" s="166"/>
      <c r="M156" s="284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588"/>
      <c r="J157" s="273"/>
      <c r="K157" s="167"/>
      <c r="L157" s="166"/>
      <c r="M157" s="284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588"/>
      <c r="J158" s="273"/>
      <c r="K158" s="167"/>
      <c r="L158" s="166"/>
      <c r="M158" s="284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588"/>
      <c r="J159" s="273"/>
      <c r="K159" s="167"/>
      <c r="L159" s="166"/>
      <c r="M159" s="284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588"/>
      <c r="J160" s="273"/>
      <c r="K160" s="167"/>
      <c r="L160" s="166"/>
      <c r="M160" s="284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588"/>
      <c r="J161" s="273"/>
      <c r="K161" s="167"/>
      <c r="L161" s="166"/>
      <c r="M161" s="284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588"/>
      <c r="J162" s="273"/>
      <c r="K162" s="167"/>
      <c r="L162" s="166"/>
      <c r="M162" s="284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588"/>
      <c r="J163" s="273"/>
      <c r="K163" s="167"/>
      <c r="L163" s="166"/>
      <c r="M163" s="284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588"/>
      <c r="J164" s="273"/>
      <c r="K164" s="167"/>
      <c r="L164" s="166"/>
      <c r="M164" s="284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588"/>
      <c r="J165" s="273"/>
      <c r="K165" s="167"/>
      <c r="L165" s="166"/>
      <c r="M165" s="284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588"/>
      <c r="J166" s="273"/>
      <c r="K166" s="167"/>
      <c r="L166" s="166"/>
      <c r="M166" s="284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588"/>
      <c r="J167" s="273"/>
      <c r="K167" s="167"/>
      <c r="L167" s="166"/>
      <c r="M167" s="284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  <c r="AC167" s="166"/>
      <c r="AD167" s="166"/>
      <c r="AE167" s="166"/>
      <c r="AF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588"/>
      <c r="J168" s="273"/>
      <c r="K168" s="167"/>
      <c r="L168" s="166"/>
      <c r="M168" s="284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  <c r="AC168" s="166"/>
      <c r="AD168" s="166"/>
      <c r="AE168" s="166"/>
      <c r="AF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588"/>
      <c r="J169" s="273"/>
      <c r="K169" s="167"/>
      <c r="L169" s="166"/>
      <c r="M169" s="284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  <c r="AC169" s="166"/>
      <c r="AD169" s="166"/>
      <c r="AE169" s="166"/>
      <c r="AF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588"/>
      <c r="J170" s="273"/>
      <c r="K170" s="167"/>
      <c r="L170" s="166"/>
      <c r="M170" s="284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  <c r="AC170" s="166"/>
      <c r="AD170" s="166"/>
      <c r="AE170" s="166"/>
      <c r="AF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588"/>
      <c r="J171" s="273"/>
      <c r="K171" s="167"/>
      <c r="L171" s="166"/>
      <c r="M171" s="284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  <c r="AC171" s="166"/>
      <c r="AD171" s="166"/>
      <c r="AE171" s="166"/>
      <c r="AF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588"/>
      <c r="J172" s="273"/>
      <c r="K172" s="167"/>
      <c r="L172" s="166"/>
      <c r="M172" s="284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  <c r="AC172" s="166"/>
      <c r="AD172" s="166"/>
      <c r="AE172" s="166"/>
      <c r="AF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588"/>
      <c r="J173" s="273"/>
      <c r="K173" s="167"/>
      <c r="L173" s="166"/>
      <c r="M173" s="284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  <c r="AC173" s="166"/>
      <c r="AD173" s="166"/>
      <c r="AE173" s="166"/>
      <c r="AF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588"/>
      <c r="J174" s="273"/>
      <c r="K174" s="167"/>
      <c r="L174" s="166"/>
      <c r="M174" s="284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  <c r="AC174" s="166"/>
      <c r="AD174" s="166"/>
      <c r="AE174" s="166"/>
      <c r="AF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588"/>
      <c r="J175" s="273"/>
      <c r="K175" s="167"/>
      <c r="L175" s="166"/>
      <c r="M175" s="284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  <c r="AC175" s="166"/>
      <c r="AD175" s="166"/>
      <c r="AE175" s="166"/>
      <c r="AF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588"/>
      <c r="J176" s="273"/>
      <c r="K176" s="167"/>
      <c r="L176" s="166"/>
      <c r="M176" s="284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  <c r="AC176" s="166"/>
      <c r="AD176" s="166"/>
      <c r="AE176" s="166"/>
      <c r="AF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588"/>
      <c r="J177" s="273"/>
      <c r="K177" s="167"/>
      <c r="L177" s="166"/>
      <c r="M177" s="284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  <c r="AC177" s="166"/>
      <c r="AD177" s="166"/>
      <c r="AE177" s="166"/>
      <c r="AF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588"/>
      <c r="J178" s="273"/>
      <c r="K178" s="167"/>
      <c r="L178" s="166"/>
      <c r="M178" s="284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  <c r="AC178" s="166"/>
      <c r="AD178" s="166"/>
      <c r="AE178" s="166"/>
      <c r="AF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588"/>
      <c r="J179" s="273"/>
      <c r="K179" s="167"/>
      <c r="L179" s="166"/>
      <c r="M179" s="284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588"/>
      <c r="J180" s="273"/>
      <c r="K180" s="167"/>
      <c r="L180" s="166"/>
      <c r="M180" s="284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  <c r="AC180" s="166"/>
      <c r="AD180" s="166"/>
      <c r="AE180" s="166"/>
      <c r="AF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588"/>
      <c r="J181" s="273"/>
      <c r="K181" s="167"/>
      <c r="L181" s="166"/>
      <c r="M181" s="284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  <c r="AC181" s="166"/>
      <c r="AD181" s="166"/>
      <c r="AE181" s="166"/>
      <c r="AF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588"/>
      <c r="J182" s="273"/>
      <c r="K182" s="167"/>
      <c r="L182" s="166"/>
      <c r="M182" s="284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  <c r="AC182" s="166"/>
      <c r="AD182" s="166"/>
      <c r="AE182" s="166"/>
      <c r="AF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588"/>
      <c r="J183" s="273"/>
      <c r="K183" s="167"/>
      <c r="L183" s="166"/>
      <c r="M183" s="284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  <c r="AC183" s="166"/>
      <c r="AD183" s="166"/>
      <c r="AE183" s="166"/>
      <c r="AF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588"/>
      <c r="J184" s="273"/>
      <c r="K184" s="167"/>
      <c r="L184" s="166"/>
      <c r="M184" s="284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588"/>
      <c r="J185" s="273"/>
      <c r="K185" s="167"/>
      <c r="L185" s="166"/>
      <c r="M185" s="284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588"/>
      <c r="J186" s="273"/>
      <c r="K186" s="167"/>
      <c r="L186" s="166"/>
      <c r="M186" s="284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588"/>
      <c r="J187" s="273"/>
      <c r="K187" s="167"/>
      <c r="L187" s="166"/>
      <c r="M187" s="284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  <c r="AC187" s="166"/>
      <c r="AD187" s="166"/>
      <c r="AE187" s="166"/>
      <c r="AF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588"/>
      <c r="J188" s="273"/>
      <c r="K188" s="167"/>
      <c r="L188" s="166"/>
      <c r="M188" s="284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  <c r="AC188" s="166"/>
      <c r="AD188" s="166"/>
      <c r="AE188" s="166"/>
      <c r="AF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588"/>
      <c r="J189" s="273"/>
      <c r="K189" s="167"/>
      <c r="L189" s="166"/>
      <c r="M189" s="284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  <c r="AC189" s="166"/>
      <c r="AD189" s="166"/>
      <c r="AE189" s="166"/>
      <c r="AF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588"/>
      <c r="J190" s="273"/>
      <c r="K190" s="167"/>
      <c r="L190" s="166"/>
      <c r="M190" s="284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  <c r="AC190" s="166"/>
      <c r="AD190" s="166"/>
      <c r="AE190" s="166"/>
      <c r="AF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588"/>
      <c r="J191" s="273"/>
      <c r="K191" s="167"/>
      <c r="L191" s="166"/>
      <c r="M191" s="284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  <c r="AC191" s="166"/>
      <c r="AD191" s="166"/>
      <c r="AE191" s="166"/>
      <c r="AF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588"/>
      <c r="J192" s="273"/>
      <c r="K192" s="167"/>
      <c r="L192" s="166"/>
      <c r="M192" s="284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  <c r="AC192" s="166"/>
      <c r="AD192" s="166"/>
      <c r="AE192" s="166"/>
      <c r="AF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588"/>
      <c r="J193" s="273"/>
      <c r="K193" s="167"/>
      <c r="L193" s="166"/>
      <c r="M193" s="284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  <c r="AC193" s="166"/>
      <c r="AD193" s="166"/>
      <c r="AE193" s="166"/>
      <c r="AF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588"/>
      <c r="J194" s="273"/>
      <c r="K194" s="167"/>
      <c r="L194" s="166"/>
      <c r="M194" s="284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  <c r="AC194" s="166"/>
      <c r="AD194" s="166"/>
      <c r="AE194" s="166"/>
      <c r="AF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588"/>
      <c r="J195" s="273"/>
      <c r="K195" s="167"/>
      <c r="L195" s="166"/>
      <c r="M195" s="284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  <c r="AC195" s="166"/>
      <c r="AD195" s="166"/>
      <c r="AE195" s="166"/>
      <c r="AF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588"/>
      <c r="J196" s="273"/>
      <c r="K196" s="167"/>
      <c r="L196" s="166"/>
      <c r="M196" s="284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  <c r="AC196" s="166"/>
      <c r="AD196" s="166"/>
      <c r="AE196" s="166"/>
      <c r="AF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588"/>
      <c r="J197" s="273"/>
      <c r="K197" s="167"/>
      <c r="L197" s="166"/>
      <c r="M197" s="284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  <c r="AC197" s="166"/>
      <c r="AD197" s="166"/>
      <c r="AE197" s="166"/>
      <c r="AF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588"/>
      <c r="J198" s="273"/>
      <c r="K198" s="167"/>
      <c r="L198" s="166"/>
      <c r="M198" s="284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588"/>
      <c r="J199" s="273"/>
      <c r="K199" s="167"/>
      <c r="L199" s="166"/>
      <c r="M199" s="284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  <c r="AC199" s="166"/>
      <c r="AD199" s="166"/>
      <c r="AE199" s="166"/>
      <c r="AF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588"/>
      <c r="J200" s="273"/>
      <c r="K200" s="167"/>
      <c r="L200" s="166"/>
      <c r="M200" s="284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  <c r="AC200" s="166"/>
      <c r="AD200" s="166"/>
      <c r="AE200" s="166"/>
      <c r="AF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588"/>
      <c r="J201" s="273"/>
      <c r="K201" s="167"/>
      <c r="L201" s="166"/>
      <c r="M201" s="284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  <c r="AC201" s="166"/>
      <c r="AD201" s="166"/>
      <c r="AE201" s="166"/>
      <c r="AF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588"/>
      <c r="J202" s="273"/>
      <c r="K202" s="167"/>
      <c r="L202" s="166"/>
      <c r="M202" s="284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  <c r="AC202" s="166"/>
      <c r="AD202" s="166"/>
      <c r="AE202" s="166"/>
      <c r="AF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588"/>
      <c r="J203" s="273"/>
      <c r="K203" s="167"/>
      <c r="L203" s="166"/>
      <c r="M203" s="284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  <c r="AC203" s="166"/>
      <c r="AD203" s="166"/>
      <c r="AE203" s="166"/>
      <c r="AF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588"/>
      <c r="J204" s="273"/>
      <c r="K204" s="167"/>
      <c r="L204" s="166"/>
      <c r="M204" s="284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  <c r="AC204" s="166"/>
      <c r="AD204" s="166"/>
      <c r="AE204" s="166"/>
      <c r="AF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588"/>
      <c r="J205" s="273"/>
      <c r="K205" s="167"/>
      <c r="L205" s="166"/>
      <c r="M205" s="284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  <c r="AC205" s="166"/>
      <c r="AD205" s="166"/>
      <c r="AE205" s="166"/>
      <c r="AF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588"/>
      <c r="J206" s="273"/>
      <c r="K206" s="167"/>
      <c r="L206" s="166"/>
      <c r="M206" s="284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  <c r="AC206" s="166"/>
      <c r="AD206" s="166"/>
      <c r="AE206" s="166"/>
      <c r="AF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588"/>
      <c r="J207" s="273"/>
      <c r="K207" s="167"/>
      <c r="L207" s="166"/>
      <c r="M207" s="284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  <c r="AC207" s="166"/>
      <c r="AD207" s="166"/>
      <c r="AE207" s="166"/>
      <c r="AF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588"/>
      <c r="J208" s="273"/>
      <c r="K208" s="167"/>
      <c r="L208" s="166"/>
      <c r="M208" s="284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  <c r="AC208" s="166"/>
      <c r="AD208" s="166"/>
      <c r="AE208" s="166"/>
      <c r="AF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588"/>
      <c r="J209" s="273"/>
      <c r="K209" s="167"/>
      <c r="L209" s="166"/>
      <c r="M209" s="284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  <c r="AC209" s="166"/>
      <c r="AD209" s="166"/>
      <c r="AE209" s="166"/>
      <c r="AF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588"/>
      <c r="J210" s="273"/>
      <c r="K210" s="167"/>
      <c r="L210" s="166"/>
      <c r="M210" s="284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  <c r="AC210" s="166"/>
      <c r="AD210" s="166"/>
      <c r="AE210" s="166"/>
      <c r="AF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588"/>
      <c r="J211" s="273"/>
      <c r="K211" s="167"/>
      <c r="L211" s="166"/>
      <c r="M211" s="284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  <c r="AC211" s="166"/>
      <c r="AD211" s="166"/>
      <c r="AE211" s="166"/>
      <c r="AF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588"/>
      <c r="J212" s="273"/>
      <c r="K212" s="167"/>
      <c r="L212" s="166"/>
      <c r="M212" s="284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588"/>
      <c r="J213" s="273"/>
      <c r="K213" s="167"/>
      <c r="L213" s="166"/>
      <c r="M213" s="284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  <c r="AC213" s="166"/>
      <c r="AD213" s="166"/>
      <c r="AE213" s="166"/>
      <c r="AF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588"/>
      <c r="J214" s="273"/>
      <c r="K214" s="167"/>
      <c r="L214" s="166"/>
      <c r="M214" s="284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  <c r="AC214" s="166"/>
      <c r="AD214" s="166"/>
      <c r="AE214" s="166"/>
      <c r="AF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588"/>
      <c r="J215" s="273"/>
      <c r="K215" s="167"/>
      <c r="L215" s="166"/>
      <c r="M215" s="284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  <c r="AC215" s="166"/>
      <c r="AD215" s="166"/>
      <c r="AE215" s="166"/>
      <c r="AF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588"/>
      <c r="J216" s="273"/>
      <c r="K216" s="167"/>
      <c r="L216" s="166"/>
      <c r="M216" s="284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  <c r="AC216" s="166"/>
      <c r="AD216" s="166"/>
      <c r="AE216" s="166"/>
      <c r="AF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588"/>
      <c r="J217" s="273"/>
      <c r="K217" s="167"/>
      <c r="L217" s="166"/>
      <c r="M217" s="284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  <c r="AC217" s="166"/>
      <c r="AD217" s="166"/>
      <c r="AE217" s="166"/>
      <c r="AF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588"/>
      <c r="J218" s="273"/>
      <c r="K218" s="167"/>
      <c r="L218" s="166"/>
      <c r="M218" s="284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  <c r="AC218" s="166"/>
      <c r="AD218" s="166"/>
      <c r="AE218" s="166"/>
      <c r="AF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588"/>
      <c r="J219" s="273"/>
      <c r="K219" s="167"/>
      <c r="L219" s="166"/>
      <c r="M219" s="284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  <c r="AC219" s="166"/>
      <c r="AD219" s="166"/>
      <c r="AE219" s="166"/>
      <c r="AF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588"/>
      <c r="J220" s="273"/>
      <c r="K220" s="167"/>
      <c r="L220" s="166"/>
      <c r="M220" s="284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Y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Y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Y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Y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Y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Y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Y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Y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Y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Y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Y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Y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Y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Y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Y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Y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Y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Y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Y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Y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Y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Y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Y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Y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Y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Y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Y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Y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Y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Y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Y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Y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Y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Y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Y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Y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Y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Y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Y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Y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Y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Y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Y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Y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Y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Y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Y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Y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Y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Y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Y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Y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Y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Y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Y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Y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Y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Y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Y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Y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Y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Y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Y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Y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Y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Y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Y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Y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Y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Y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Y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Y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Y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Y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Y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Y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Y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Y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Y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Y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Y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Y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Y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Y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Y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Y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Y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Y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Y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Y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Y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Y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Y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Y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Y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Y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Y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Y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Y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Y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Y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Y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Y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Y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Y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Y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Y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Y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Y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Y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Y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Y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Y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Y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Y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Y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Y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Y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Y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Y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Y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Y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Y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Y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Y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Y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Y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Y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Y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Y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Y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Y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Y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Y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Y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Y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Y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Y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Y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Y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Y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Y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Y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Y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Y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Y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Y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Y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Y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Y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Y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Y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Y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Y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Y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Y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Y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Y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Y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Y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Y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Y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Y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Y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Y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Y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Y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Y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Y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Y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Y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Y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Y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Y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Y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Y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Y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Y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Y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Y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Y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Y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Y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Y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Y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Y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Y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Y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Y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Y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Y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Y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Y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Y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Y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Y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Y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Y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Y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Y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Y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Y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Y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Y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Y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Y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Y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Y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Y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Y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Y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Y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Y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Y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Y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Y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Y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Y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Y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Y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Y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Y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Y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Y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Y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Y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Y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Y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Y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Y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Y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Y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Y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Y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Y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Y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Y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Y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Y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Y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Y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Y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Y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Y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Y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Y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Y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Y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Y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Y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Y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Y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Y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Y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Y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Y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Y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Y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Y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Y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Y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Y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Y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Y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Y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Y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Y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Y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Y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Y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Y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Y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Y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Y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Y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Y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Y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Y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Y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Y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Y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Y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Y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Y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Y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Y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Y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Y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Y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Y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Y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Y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Y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Y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Y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Y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Y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Y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Y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Y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Y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Y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Y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Y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Y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Y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Y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Y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Y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Y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Y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Y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Y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Y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Y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Y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Y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Y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Y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Y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Y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Y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Y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Y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Y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Y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Y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Y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Y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Y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Y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Y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Y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Y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Y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Y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Y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Y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Y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Y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Y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Y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Y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Y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Y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Y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Y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Y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Y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Y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Y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Y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Y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Y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Y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Y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Y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Y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Y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Y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Y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Y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Y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Y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Y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Y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Y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Y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Y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Y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Y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Y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Y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Y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Y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Y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Y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Y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Y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Y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Y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Y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Y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Y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Y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Y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Y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Y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Y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Y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Y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Y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Y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Y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Y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Y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Y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Y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Y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Y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Y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Y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Y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Y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Y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Y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Y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Y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Y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Y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Y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Y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Y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Y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Y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Y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Y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Y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Y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Y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Y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Y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Y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Y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Y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Y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Y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Y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Y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Y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Y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Y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Y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Y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Y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Y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Y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Y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Y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Y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Y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Y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Y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Y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Y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Y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Y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Y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Y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Y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Y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Y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Y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Y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Y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Y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Y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Y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Y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Y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Y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Y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Y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Y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Y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Y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Y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Y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Y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Y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Y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Y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Y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Y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Y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Y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Y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Y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Y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Y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Y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Y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Y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Y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Y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Y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Y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Y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Y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Y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Y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Y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Y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Y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Y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Y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Y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Y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Y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Y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Y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Y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Y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Y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Y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Y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Y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Y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Y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Y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Y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Y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Y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Y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Y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Y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Y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Y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Y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Y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Y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Y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Y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Y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Y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Y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Y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Y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Y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Y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Y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Y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Y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Y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Y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Y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Y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Y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Y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Y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Y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Y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Y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Y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Y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Y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Y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Y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Y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Y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Y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Y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Y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Y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Y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Y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Y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Y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Y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Y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Y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Y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Y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Y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Y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Y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Y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Y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Y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Y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Y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Y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Y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Y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Y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Y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Y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Y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Y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Y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Y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Y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Y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Y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Y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Y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Y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Y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Y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Y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Y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Y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Y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Y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Y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Y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Y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Y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Y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Y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Y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Y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Y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Y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Y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Y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Y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Y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Y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Y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Y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Y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Y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Y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Y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Y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Y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Y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Y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Y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Y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Y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Y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Y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Y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Y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Y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Y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Y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Y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Y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Y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Y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Y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Y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Y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Y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Y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Y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Y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Y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Y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Y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Y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Y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Y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Y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Y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Y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Y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Y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Y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Y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Y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Y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Y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Y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Y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Y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Y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Y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Y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Y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Y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Y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Y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Y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Y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Y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Y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Y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Y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Y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Y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Y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Y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Y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Y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Y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Y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Y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Y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Y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Y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Y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Y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Y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Y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Y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Y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Y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Y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Y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Y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Y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Y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Y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Y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Y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Y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Y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Y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Y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Y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Y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Y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Y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Y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Y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Y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Y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Y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Y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Y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Y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Y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Y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Y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Y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Y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Y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Y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Y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Y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Y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Y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Y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Y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Y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Y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Y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Y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Y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Y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Y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Y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Y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Y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Y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Y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Y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Y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Y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Y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Y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Y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Y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Y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Y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Y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Y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Y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Y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Y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Y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Y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Y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Y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Y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Y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Y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Y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Y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Y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Y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Y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Y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Y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Y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Y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Y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Y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Y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Y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Y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Y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Y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Y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Y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Y1000" s="7"/>
    </row>
  </sheetData>
  <mergeCells count="4">
    <mergeCell ref="A2:H2"/>
    <mergeCell ref="I2:L2"/>
    <mergeCell ref="M2:P2"/>
    <mergeCell ref="R2:V2"/>
  </mergeCells>
  <printOptions/>
  <pageMargins bottom="1.0" footer="0.0" header="0.0" left="0.75" right="0.75" top="1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2.63"/>
    <col customWidth="1" min="3" max="3" width="10.88"/>
    <col customWidth="1" min="4" max="4" width="11.25"/>
    <col customWidth="1" min="5" max="5" width="12.63"/>
    <col customWidth="1" min="6" max="6" width="10.38"/>
    <col customWidth="1" min="7" max="7" width="9.25"/>
    <col customWidth="1" min="8" max="8" width="7.88"/>
    <col customWidth="1" hidden="1" min="9" max="9" width="11.25"/>
    <col customWidth="1" min="10" max="10" width="8.5"/>
    <col customWidth="1" min="11" max="11" width="9.88"/>
    <col customWidth="1" min="12" max="12" width="9.5"/>
    <col customWidth="1" hidden="1" min="13" max="13" width="6.5" outlineLevel="1"/>
    <col customWidth="1" hidden="1" min="14" max="14" width="7.63" outlineLevel="1"/>
    <col customWidth="1" hidden="1" min="15" max="15" width="9.25" outlineLevel="1"/>
    <col customWidth="1" hidden="1" min="16" max="16" width="6.38" outlineLevel="1"/>
    <col customWidth="1" hidden="1" min="17" max="17" width="5.75" outlineLevel="1"/>
    <col customWidth="1" hidden="1" min="18" max="18" width="10.13" outlineLevel="1"/>
  </cols>
  <sheetData>
    <row r="1" ht="15.75" customHeight="1">
      <c r="A1" s="165"/>
      <c r="H1" s="166"/>
      <c r="I1" s="167"/>
      <c r="J1" s="167"/>
      <c r="K1" s="167"/>
      <c r="L1" s="166"/>
      <c r="M1" s="166"/>
      <c r="N1" s="166"/>
      <c r="O1" s="166"/>
      <c r="P1" s="166"/>
      <c r="Q1" s="166"/>
      <c r="R1" s="166"/>
    </row>
    <row r="2" ht="15.75" customHeight="1">
      <c r="A2" s="486"/>
      <c r="B2" s="487" t="s">
        <v>183</v>
      </c>
      <c r="C2" s="488"/>
      <c r="D2" s="489"/>
      <c r="E2" s="486"/>
      <c r="F2" s="490"/>
      <c r="G2" s="491"/>
      <c r="H2" s="677" t="s">
        <v>104</v>
      </c>
      <c r="I2" s="678"/>
      <c r="J2" s="678"/>
      <c r="K2" s="679"/>
      <c r="L2" s="680"/>
      <c r="M2" s="681" t="s">
        <v>106</v>
      </c>
      <c r="N2" s="488"/>
      <c r="O2" s="489"/>
      <c r="P2" s="682" t="s">
        <v>108</v>
      </c>
      <c r="Q2" s="488"/>
      <c r="R2" s="489"/>
    </row>
    <row r="3" ht="15.75" customHeight="1">
      <c r="A3" s="495" t="s">
        <v>118</v>
      </c>
      <c r="B3" s="495" t="s">
        <v>119</v>
      </c>
      <c r="C3" s="495" t="s">
        <v>121</v>
      </c>
      <c r="D3" s="495" t="s">
        <v>122</v>
      </c>
      <c r="E3" s="495" t="s">
        <v>123</v>
      </c>
      <c r="F3" s="496" t="s">
        <v>124</v>
      </c>
      <c r="G3" s="497" t="s">
        <v>125</v>
      </c>
      <c r="H3" s="683" t="s">
        <v>126</v>
      </c>
      <c r="I3" s="684" t="s">
        <v>147</v>
      </c>
      <c r="J3" s="685" t="s">
        <v>127</v>
      </c>
      <c r="K3" s="685" t="s">
        <v>153</v>
      </c>
      <c r="L3" s="686" t="s">
        <v>181</v>
      </c>
      <c r="M3" s="687" t="s">
        <v>126</v>
      </c>
      <c r="N3" s="688" t="s">
        <v>127</v>
      </c>
      <c r="O3" s="688" t="s">
        <v>130</v>
      </c>
      <c r="P3" s="688" t="s">
        <v>126</v>
      </c>
      <c r="Q3" s="688" t="s">
        <v>127</v>
      </c>
      <c r="R3" s="688" t="s">
        <v>130</v>
      </c>
    </row>
    <row r="4" ht="15.75" customHeight="1">
      <c r="A4" s="190" t="s">
        <v>34</v>
      </c>
      <c r="B4" s="191" t="s">
        <v>132</v>
      </c>
      <c r="C4" s="193"/>
      <c r="D4" s="194" t="s">
        <v>132</v>
      </c>
      <c r="E4" s="192">
        <v>0.0</v>
      </c>
      <c r="F4" s="193"/>
      <c r="G4" s="192">
        <f t="shared" ref="G4:G10" si="1">SUM(E4:F4)</f>
        <v>0</v>
      </c>
      <c r="H4" s="689" t="s">
        <v>132</v>
      </c>
      <c r="I4" s="690" t="s">
        <v>132</v>
      </c>
      <c r="J4" s="690"/>
      <c r="K4" s="690" t="s">
        <v>132</v>
      </c>
      <c r="L4" s="691">
        <f>'REFERENCIA PML'!E3</f>
        <v>23.87</v>
      </c>
      <c r="M4" s="192" t="s">
        <v>132</v>
      </c>
      <c r="N4" s="192" t="s">
        <v>132</v>
      </c>
      <c r="O4" s="192" t="s">
        <v>132</v>
      </c>
      <c r="P4" s="192" t="s">
        <v>132</v>
      </c>
      <c r="Q4" s="192" t="s">
        <v>132</v>
      </c>
      <c r="R4" s="192" t="s">
        <v>132</v>
      </c>
    </row>
    <row r="5" ht="15.75" customHeight="1">
      <c r="A5" s="505" t="s">
        <v>91</v>
      </c>
      <c r="B5" s="506" t="s">
        <v>132</v>
      </c>
      <c r="C5" s="507" t="s">
        <v>132</v>
      </c>
      <c r="D5" s="508" t="s">
        <v>132</v>
      </c>
      <c r="E5" s="508" t="s">
        <v>132</v>
      </c>
      <c r="F5" s="507"/>
      <c r="G5" s="508">
        <f t="shared" si="1"/>
        <v>0</v>
      </c>
      <c r="H5" s="692" t="s">
        <v>132</v>
      </c>
      <c r="I5" s="693" t="s">
        <v>132</v>
      </c>
      <c r="J5" s="693"/>
      <c r="K5" s="693" t="s">
        <v>132</v>
      </c>
      <c r="L5" s="694">
        <f>'REFERENCIA PML'!E4</f>
        <v>33.93</v>
      </c>
      <c r="M5" s="508" t="s">
        <v>132</v>
      </c>
      <c r="N5" s="508" t="s">
        <v>132</v>
      </c>
      <c r="O5" s="508" t="s">
        <v>132</v>
      </c>
      <c r="P5" s="508" t="s">
        <v>132</v>
      </c>
      <c r="Q5" s="508" t="s">
        <v>132</v>
      </c>
      <c r="R5" s="508" t="s">
        <v>132</v>
      </c>
    </row>
    <row r="6" ht="15.75" customHeight="1">
      <c r="A6" s="215" t="s">
        <v>98</v>
      </c>
      <c r="B6" s="216" t="s">
        <v>132</v>
      </c>
      <c r="C6" s="218" t="s">
        <v>132</v>
      </c>
      <c r="D6" s="217" t="s">
        <v>132</v>
      </c>
      <c r="E6" s="217" t="s">
        <v>132</v>
      </c>
      <c r="F6" s="218">
        <v>0.0</v>
      </c>
      <c r="G6" s="217">
        <f t="shared" si="1"/>
        <v>0</v>
      </c>
      <c r="H6" s="695" t="s">
        <v>184</v>
      </c>
      <c r="I6" s="696">
        <v>0.614</v>
      </c>
      <c r="J6" s="697"/>
      <c r="K6" s="697">
        <v>0.0151</v>
      </c>
      <c r="L6" s="691">
        <f>'REFERENCIA PML'!E5</f>
        <v>30.84</v>
      </c>
      <c r="M6" s="698" t="s">
        <v>134</v>
      </c>
      <c r="N6" s="699" t="s">
        <v>134</v>
      </c>
      <c r="O6" s="699" t="s">
        <v>134</v>
      </c>
      <c r="P6" s="699" t="s">
        <v>134</v>
      </c>
      <c r="Q6" s="699" t="s">
        <v>134</v>
      </c>
      <c r="R6" s="699" t="s">
        <v>134</v>
      </c>
    </row>
    <row r="7" ht="15.75" customHeight="1">
      <c r="A7" s="505" t="s">
        <v>103</v>
      </c>
      <c r="B7" s="506">
        <f>CONTROLE!I55</f>
        <v>2</v>
      </c>
      <c r="C7" s="507">
        <f>CONTROLE!E55</f>
        <v>20</v>
      </c>
      <c r="D7" s="507">
        <f>CONTROLE!D55</f>
        <v>338</v>
      </c>
      <c r="E7" s="507">
        <f t="shared" ref="E7:E10" si="2">C7+D7</f>
        <v>358</v>
      </c>
      <c r="F7" s="507">
        <v>300.0</v>
      </c>
      <c r="G7" s="507">
        <f t="shared" si="1"/>
        <v>658</v>
      </c>
      <c r="H7" s="700">
        <v>18.58</v>
      </c>
      <c r="I7" s="701"/>
      <c r="J7" s="702">
        <f>'REFERENCIA PML'!C6</f>
        <v>23.91</v>
      </c>
      <c r="K7" s="703">
        <v>0.232</v>
      </c>
      <c r="L7" s="704">
        <f>'REFERENCIA PML'!E6</f>
        <v>30.52</v>
      </c>
      <c r="M7" s="524"/>
      <c r="N7" s="524"/>
      <c r="O7" s="524"/>
      <c r="P7" s="524"/>
      <c r="Q7" s="524"/>
      <c r="R7" s="524"/>
    </row>
    <row r="8" ht="15.75" customHeight="1">
      <c r="A8" s="190" t="s">
        <v>110</v>
      </c>
      <c r="B8" s="191">
        <f>CONTROLE!I66</f>
        <v>4</v>
      </c>
      <c r="C8" s="193">
        <f>CONTROLE!E66</f>
        <v>40</v>
      </c>
      <c r="D8" s="193">
        <f>CONTROLE!D66</f>
        <v>421</v>
      </c>
      <c r="E8" s="193">
        <f t="shared" si="2"/>
        <v>461</v>
      </c>
      <c r="F8" s="193">
        <f>CONTROLE!G66</f>
        <v>300</v>
      </c>
      <c r="G8" s="193">
        <f t="shared" si="1"/>
        <v>761</v>
      </c>
      <c r="H8" s="705">
        <v>26.91</v>
      </c>
      <c r="I8" s="706"/>
      <c r="J8" s="707">
        <f>'REFERENCIA PML'!C7</f>
        <v>26.95</v>
      </c>
      <c r="K8" s="708">
        <v>0.3446</v>
      </c>
      <c r="L8" s="709">
        <f>'REFERENCIA PML'!E7</f>
        <v>33.85</v>
      </c>
      <c r="M8" s="190"/>
      <c r="N8" s="190"/>
      <c r="O8" s="190"/>
      <c r="P8" s="190"/>
      <c r="Q8" s="190"/>
      <c r="R8" s="190"/>
    </row>
    <row r="9" ht="15.75" customHeight="1">
      <c r="A9" s="710" t="s">
        <v>138</v>
      </c>
      <c r="B9" s="711">
        <f>CONTROLE!I82</f>
        <v>7</v>
      </c>
      <c r="C9" s="712">
        <f>CONTROLE!E82</f>
        <v>70</v>
      </c>
      <c r="D9" s="712">
        <f>CONTROLE!D82</f>
        <v>365</v>
      </c>
      <c r="E9" s="712">
        <f t="shared" si="2"/>
        <v>435</v>
      </c>
      <c r="F9" s="712">
        <f>CONTROLE!G82</f>
        <v>300</v>
      </c>
      <c r="G9" s="713">
        <f t="shared" si="1"/>
        <v>735</v>
      </c>
      <c r="H9" s="714">
        <f>324/13</f>
        <v>24.92307692</v>
      </c>
      <c r="I9" s="715"/>
      <c r="J9" s="716">
        <f>'REFERENCIA PML'!C8</f>
        <v>25.71</v>
      </c>
      <c r="K9" s="717">
        <f>108.5/324</f>
        <v>0.3348765432</v>
      </c>
      <c r="L9" s="718">
        <f>'REFERENCIA PML'!E8</f>
        <v>33.57</v>
      </c>
      <c r="M9" s="505"/>
      <c r="N9" s="505"/>
      <c r="O9" s="505"/>
      <c r="P9" s="505"/>
      <c r="Q9" s="505"/>
      <c r="R9" s="505"/>
    </row>
    <row r="10" ht="15.75" customHeight="1">
      <c r="A10" s="190" t="s">
        <v>139</v>
      </c>
      <c r="B10" s="191">
        <f>CONTROLE!I98</f>
        <v>7</v>
      </c>
      <c r="C10" s="193">
        <f>CONTROLE!E98</f>
        <v>70</v>
      </c>
      <c r="D10" s="193">
        <f>CONTROLE!D98</f>
        <v>379</v>
      </c>
      <c r="E10" s="193">
        <f t="shared" si="2"/>
        <v>449</v>
      </c>
      <c r="F10" s="193">
        <f>CONTROLE!G98</f>
        <v>300</v>
      </c>
      <c r="G10" s="193">
        <f t="shared" si="1"/>
        <v>749</v>
      </c>
      <c r="H10" s="193">
        <f>17147.3207/641</f>
        <v>26.75089033</v>
      </c>
      <c r="I10" s="193">
        <f>H10/J10</f>
        <v>1.155546018</v>
      </c>
      <c r="J10" s="193">
        <f>'REFERENCIA PML'!C9</f>
        <v>23.15</v>
      </c>
      <c r="K10" s="234">
        <f>7302.0998/17147.3207</f>
        <v>0.4258449426</v>
      </c>
      <c r="L10" s="192">
        <f>'REFERENCIA PML'!E9</f>
        <v>28.53</v>
      </c>
      <c r="M10" s="190" t="s">
        <v>134</v>
      </c>
      <c r="N10" s="190" t="s">
        <v>134</v>
      </c>
      <c r="O10" s="190" t="s">
        <v>134</v>
      </c>
      <c r="P10" s="190" t="s">
        <v>134</v>
      </c>
      <c r="Q10" s="190" t="s">
        <v>134</v>
      </c>
      <c r="R10" s="190" t="s">
        <v>134</v>
      </c>
    </row>
    <row r="11" ht="15.75" customHeight="1">
      <c r="A11" s="190" t="s">
        <v>141</v>
      </c>
      <c r="B11" s="192"/>
      <c r="C11" s="192"/>
      <c r="D11" s="192"/>
      <c r="E11" s="192"/>
      <c r="F11" s="193"/>
      <c r="G11" s="192"/>
      <c r="H11" s="190"/>
      <c r="I11" s="252"/>
      <c r="J11" s="252"/>
      <c r="K11" s="252"/>
      <c r="L11" s="190"/>
      <c r="M11" s="190"/>
      <c r="N11" s="190"/>
      <c r="O11" s="190"/>
      <c r="P11" s="190"/>
      <c r="Q11" s="190"/>
      <c r="R11" s="190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</row>
  </sheetData>
  <mergeCells count="5">
    <mergeCell ref="A1:G1"/>
    <mergeCell ref="B2:D2"/>
    <mergeCell ref="H2:K2"/>
    <mergeCell ref="M2:O2"/>
    <mergeCell ref="P2:R2"/>
  </mergeCells>
  <printOptions/>
  <pageMargins bottom="1.0" footer="0.0" header="0.0" left="0.75" right="0.75" top="1.0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2" width="12.63"/>
    <col customWidth="1" min="3" max="3" width="10.75"/>
    <col customWidth="1" min="4" max="4" width="11.0"/>
    <col customWidth="1" min="5" max="5" width="9.63"/>
    <col customWidth="1" min="6" max="6" width="9.75"/>
    <col customWidth="1" min="7" max="7" width="8.38"/>
    <col customWidth="1" min="8" max="8" width="7.38"/>
    <col customWidth="1" hidden="1" min="9" max="9" width="9.0"/>
    <col customWidth="1" min="10" max="10" width="7.63"/>
    <col customWidth="1" min="11" max="11" width="9.13"/>
    <col customWidth="1" min="12" max="12" width="10.25"/>
    <col customWidth="1" min="13" max="13" width="8.0" outlineLevel="1"/>
    <col customWidth="1" min="14" max="14" width="7.0" outlineLevel="1"/>
    <col customWidth="1" min="15" max="15" width="10.38" outlineLevel="1"/>
    <col customWidth="1" min="16" max="16" width="9.25" outlineLevel="1"/>
    <col customWidth="1" min="17" max="17" width="7.38"/>
    <col customWidth="1" min="18" max="18" width="7.75"/>
    <col customWidth="1" min="19" max="20" width="9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ht="15.75" customHeight="1">
      <c r="A2" s="719"/>
      <c r="B2" s="720" t="s">
        <v>41</v>
      </c>
      <c r="C2" s="171"/>
      <c r="D2" s="172"/>
      <c r="E2" s="719"/>
      <c r="F2" s="721"/>
      <c r="G2" s="722"/>
      <c r="H2" s="723" t="s">
        <v>104</v>
      </c>
      <c r="I2" s="275"/>
      <c r="J2" s="275"/>
      <c r="K2" s="275"/>
      <c r="L2" s="276"/>
      <c r="M2" s="723" t="s">
        <v>106</v>
      </c>
      <c r="N2" s="275"/>
      <c r="O2" s="724"/>
      <c r="P2" s="725"/>
      <c r="Q2" s="726" t="s">
        <v>108</v>
      </c>
      <c r="R2" s="275"/>
      <c r="S2" s="275"/>
      <c r="T2" s="276"/>
      <c r="U2" s="36" t="s">
        <v>162</v>
      </c>
      <c r="V2" s="36" t="s">
        <v>163</v>
      </c>
      <c r="W2" s="36" t="s">
        <v>185</v>
      </c>
      <c r="X2" s="36" t="s">
        <v>165</v>
      </c>
    </row>
    <row r="3" ht="15.75" customHeight="1">
      <c r="A3" s="181" t="s">
        <v>118</v>
      </c>
      <c r="B3" s="181" t="s">
        <v>119</v>
      </c>
      <c r="C3" s="181" t="s">
        <v>121</v>
      </c>
      <c r="D3" s="181" t="s">
        <v>122</v>
      </c>
      <c r="E3" s="181" t="s">
        <v>123</v>
      </c>
      <c r="F3" s="182" t="s">
        <v>124</v>
      </c>
      <c r="G3" s="183" t="s">
        <v>125</v>
      </c>
      <c r="H3" s="727" t="s">
        <v>168</v>
      </c>
      <c r="I3" s="393" t="s">
        <v>147</v>
      </c>
      <c r="J3" s="291" t="s">
        <v>156</v>
      </c>
      <c r="K3" s="291" t="s">
        <v>153</v>
      </c>
      <c r="L3" s="728" t="s">
        <v>181</v>
      </c>
      <c r="M3" s="727" t="s">
        <v>155</v>
      </c>
      <c r="N3" s="291" t="s">
        <v>156</v>
      </c>
      <c r="O3" s="291" t="s">
        <v>153</v>
      </c>
      <c r="P3" s="728" t="s">
        <v>181</v>
      </c>
      <c r="Q3" s="290" t="s">
        <v>126</v>
      </c>
      <c r="R3" s="291" t="s">
        <v>156</v>
      </c>
      <c r="S3" s="291" t="s">
        <v>153</v>
      </c>
      <c r="T3" s="728" t="s">
        <v>181</v>
      </c>
    </row>
    <row r="4" ht="15.75" customHeight="1">
      <c r="A4" s="729" t="s">
        <v>34</v>
      </c>
      <c r="B4" s="730" t="s">
        <v>132</v>
      </c>
      <c r="C4" s="731" t="s">
        <v>132</v>
      </c>
      <c r="D4" s="732" t="s">
        <v>132</v>
      </c>
      <c r="E4" s="733" t="s">
        <v>132</v>
      </c>
      <c r="F4" s="731"/>
      <c r="G4" s="734">
        <f t="shared" ref="G4:G10" si="1">SUM(E4:F4)</f>
        <v>0</v>
      </c>
      <c r="H4" s="735" t="s">
        <v>132</v>
      </c>
      <c r="I4" s="733" t="s">
        <v>132</v>
      </c>
      <c r="J4" s="733"/>
      <c r="K4" s="733" t="s">
        <v>132</v>
      </c>
      <c r="L4" s="736"/>
      <c r="M4" s="735" t="s">
        <v>132</v>
      </c>
      <c r="N4" s="733"/>
      <c r="O4" s="733" t="s">
        <v>132</v>
      </c>
      <c r="P4" s="736"/>
      <c r="Q4" s="737" t="s">
        <v>132</v>
      </c>
      <c r="R4" s="733"/>
      <c r="S4" s="733" t="s">
        <v>132</v>
      </c>
      <c r="T4" s="736" t="s">
        <v>132</v>
      </c>
    </row>
    <row r="5" ht="15.75" customHeight="1">
      <c r="A5" s="738" t="s">
        <v>91</v>
      </c>
      <c r="B5" s="739" t="s">
        <v>132</v>
      </c>
      <c r="C5" s="740" t="s">
        <v>132</v>
      </c>
      <c r="D5" s="741" t="s">
        <v>132</v>
      </c>
      <c r="E5" s="741" t="s">
        <v>132</v>
      </c>
      <c r="F5" s="740"/>
      <c r="G5" s="742">
        <f t="shared" si="1"/>
        <v>0</v>
      </c>
      <c r="H5" s="743" t="s">
        <v>132</v>
      </c>
      <c r="I5" s="741" t="s">
        <v>132</v>
      </c>
      <c r="J5" s="741"/>
      <c r="K5" s="741" t="s">
        <v>132</v>
      </c>
      <c r="L5" s="744"/>
      <c r="M5" s="743" t="s">
        <v>132</v>
      </c>
      <c r="N5" s="741"/>
      <c r="O5" s="741" t="s">
        <v>132</v>
      </c>
      <c r="P5" s="744"/>
      <c r="Q5" s="745" t="s">
        <v>132</v>
      </c>
      <c r="R5" s="741"/>
      <c r="S5" s="741" t="s">
        <v>132</v>
      </c>
      <c r="T5" s="744" t="s">
        <v>132</v>
      </c>
    </row>
    <row r="6" ht="15.75" customHeight="1">
      <c r="A6" s="746" t="s">
        <v>98</v>
      </c>
      <c r="B6" s="747" t="s">
        <v>132</v>
      </c>
      <c r="C6" s="748" t="s">
        <v>132</v>
      </c>
      <c r="D6" s="749" t="s">
        <v>132</v>
      </c>
      <c r="E6" s="749" t="s">
        <v>132</v>
      </c>
      <c r="F6" s="748" t="s">
        <v>132</v>
      </c>
      <c r="G6" s="750">
        <f t="shared" si="1"/>
        <v>0</v>
      </c>
      <c r="H6" s="751" t="s">
        <v>186</v>
      </c>
      <c r="I6" s="752">
        <v>0.589</v>
      </c>
      <c r="J6" s="753"/>
      <c r="K6" s="753">
        <v>0.0242</v>
      </c>
      <c r="L6" s="754">
        <f>'REFERENCIA PML'!E5</f>
        <v>30.84</v>
      </c>
      <c r="M6" s="751" t="s">
        <v>187</v>
      </c>
      <c r="N6" s="753"/>
      <c r="O6" s="753">
        <v>0.0661</v>
      </c>
      <c r="P6" s="755"/>
      <c r="Q6" s="756" t="s">
        <v>134</v>
      </c>
      <c r="R6" s="757"/>
      <c r="S6" s="757" t="s">
        <v>134</v>
      </c>
      <c r="T6" s="755" t="s">
        <v>134</v>
      </c>
    </row>
    <row r="7" ht="15.75" customHeight="1">
      <c r="A7" s="738" t="s">
        <v>103</v>
      </c>
      <c r="B7" s="739">
        <f>CONTROLE!I54</f>
        <v>1</v>
      </c>
      <c r="C7" s="740">
        <f>CONTROLE!E54</f>
        <v>10</v>
      </c>
      <c r="D7" s="740">
        <f>CONTROLE!D54</f>
        <v>56</v>
      </c>
      <c r="E7" s="740">
        <f t="shared" ref="E7:E8" si="2">C7+D7</f>
        <v>66</v>
      </c>
      <c r="F7" s="740">
        <f>CONTROLE!G54</f>
        <v>200</v>
      </c>
      <c r="G7" s="758">
        <f t="shared" si="1"/>
        <v>266</v>
      </c>
      <c r="H7" s="759">
        <v>12.94</v>
      </c>
      <c r="I7" s="760"/>
      <c r="J7" s="761">
        <f>'REFERENCIA PML'!C6</f>
        <v>23.91</v>
      </c>
      <c r="K7" s="762">
        <v>0.072</v>
      </c>
      <c r="L7" s="763">
        <f>'REFERENCIA PML'!E6</f>
        <v>30.52</v>
      </c>
      <c r="M7" s="759">
        <v>12.9</v>
      </c>
      <c r="N7" s="761">
        <f>'REFERENCIA PML'!C14</f>
        <v>25.84</v>
      </c>
      <c r="O7" s="764">
        <v>0.651</v>
      </c>
      <c r="P7" s="765"/>
      <c r="Q7" s="766">
        <v>19.51</v>
      </c>
      <c r="R7" s="761">
        <f>'REFERENCIA PML'!C20</f>
        <v>22.47</v>
      </c>
      <c r="S7" s="767">
        <v>0.314</v>
      </c>
      <c r="T7" s="768">
        <v>0.314</v>
      </c>
    </row>
    <row r="8" ht="15.75" customHeight="1">
      <c r="A8" s="729" t="s">
        <v>110</v>
      </c>
      <c r="B8" s="730">
        <f>CONTROLE!I71</f>
        <v>2</v>
      </c>
      <c r="C8" s="731">
        <f>CONTROLE!E71</f>
        <v>20</v>
      </c>
      <c r="D8" s="731">
        <f>CONTROLE!D71</f>
        <v>73</v>
      </c>
      <c r="E8" s="731">
        <f t="shared" si="2"/>
        <v>93</v>
      </c>
      <c r="F8" s="731">
        <f>CONTROLE!G71</f>
        <v>300</v>
      </c>
      <c r="G8" s="769">
        <f t="shared" si="1"/>
        <v>393</v>
      </c>
      <c r="H8" s="770">
        <f>2405.9/136</f>
        <v>17.69044118</v>
      </c>
      <c r="I8" s="771"/>
      <c r="J8" s="772">
        <f>'REFERENCIA PML'!C7</f>
        <v>26.95</v>
      </c>
      <c r="K8" s="773">
        <f>1210.9/2405.9</f>
        <v>0.5033043767</v>
      </c>
      <c r="L8" s="774">
        <f>'REFERENCIA PML'!E7</f>
        <v>33.85</v>
      </c>
      <c r="M8" s="775"/>
      <c r="N8" s="729"/>
      <c r="O8" s="729"/>
      <c r="P8" s="776"/>
      <c r="Q8" s="777">
        <f> 3121.5/90</f>
        <v>34.68333333</v>
      </c>
      <c r="R8" s="772">
        <f>'REFERENCIA PML'!C21</f>
        <v>25.34</v>
      </c>
      <c r="S8" s="778">
        <f>1380.5/3121.5</f>
        <v>0.442255326</v>
      </c>
      <c r="T8" s="779">
        <f>'REFERENCIA PML'!E21</f>
        <v>45.49</v>
      </c>
      <c r="U8" s="36">
        <v>1.0</v>
      </c>
      <c r="V8" s="36">
        <v>1.0</v>
      </c>
    </row>
    <row r="9" ht="15.75" customHeight="1">
      <c r="A9" s="738" t="s">
        <v>138</v>
      </c>
      <c r="B9" s="739">
        <f>CONTROLE!I86</f>
        <v>0</v>
      </c>
      <c r="C9" s="740">
        <f>CONTROLE!E86</f>
        <v>0</v>
      </c>
      <c r="D9" s="740">
        <f>CONTROLE!D86</f>
        <v>68</v>
      </c>
      <c r="E9" s="740">
        <f>SUM(C9:D9)</f>
        <v>68</v>
      </c>
      <c r="F9" s="740">
        <f>CONTROLE!G86</f>
        <v>100</v>
      </c>
      <c r="G9" s="758">
        <f t="shared" si="1"/>
        <v>168</v>
      </c>
      <c r="H9" s="759">
        <f>1023.86/33</f>
        <v>31.02606061</v>
      </c>
      <c r="I9" s="760"/>
      <c r="J9" s="761">
        <f>'REFERENCIA PML'!C8</f>
        <v>25.71</v>
      </c>
      <c r="K9" s="762">
        <f>93.5/1023.86</f>
        <v>0.09132107905</v>
      </c>
      <c r="L9" s="780">
        <f>'REFERENCIA PML'!E8</f>
        <v>33.57</v>
      </c>
      <c r="M9" s="759">
        <f>5746/296</f>
        <v>19.41216216</v>
      </c>
      <c r="N9" s="761">
        <f>'REFERENCIA PML'!C15</f>
        <v>24.18</v>
      </c>
      <c r="O9" s="762">
        <f>1593.5/5746</f>
        <v>0.2773233554</v>
      </c>
      <c r="P9" s="780">
        <f>'REFERENCIA PML'!E15</f>
        <v>42.48</v>
      </c>
      <c r="Q9" s="766">
        <f>2676.5/117</f>
        <v>22.87606838</v>
      </c>
      <c r="R9" s="738">
        <f>'REFERENCIA PML'!C22</f>
        <v>26.36</v>
      </c>
      <c r="S9" s="760">
        <f>1125.5/2676.5</f>
        <v>0.4205118625</v>
      </c>
      <c r="T9" s="780">
        <f>'REFERENCIA PML'!E22</f>
        <v>47.24</v>
      </c>
    </row>
    <row r="10" ht="15.75" customHeight="1">
      <c r="A10" s="781" t="s">
        <v>139</v>
      </c>
      <c r="B10" s="782">
        <f>CONTROLE!I103</f>
        <v>0</v>
      </c>
      <c r="C10" s="783">
        <f>CONTROLE!E103</f>
        <v>0</v>
      </c>
      <c r="D10" s="783">
        <f>CONTROLE!D103</f>
        <v>0</v>
      </c>
      <c r="E10" s="783">
        <f>C10+D10</f>
        <v>0</v>
      </c>
      <c r="F10" s="783">
        <f>CONTROLE!G103</f>
        <v>0</v>
      </c>
      <c r="G10" s="784">
        <f t="shared" si="1"/>
        <v>0</v>
      </c>
      <c r="H10" s="785">
        <f>3880.0003/270</f>
        <v>14.37037148</v>
      </c>
      <c r="I10" s="786">
        <f>H10/J10</f>
        <v>0.620750388</v>
      </c>
      <c r="J10" s="786">
        <f>'REFERENCIA PML'!C9</f>
        <v>23.15</v>
      </c>
      <c r="K10" s="787">
        <f>795/3880.0003</f>
        <v>0.2048968914</v>
      </c>
      <c r="L10" s="788">
        <f>'REFERENCIA PML'!E9</f>
        <v>28.53</v>
      </c>
      <c r="M10" s="789" t="s">
        <v>134</v>
      </c>
      <c r="N10" s="781" t="s">
        <v>134</v>
      </c>
      <c r="O10" s="781" t="s">
        <v>134</v>
      </c>
      <c r="P10" s="788" t="s">
        <v>134</v>
      </c>
      <c r="Q10" s="790">
        <f>4220.9801/222</f>
        <v>19.01342387</v>
      </c>
      <c r="R10" s="786">
        <f>'REFERENCIA PML'!C23</f>
        <v>21.59</v>
      </c>
      <c r="S10" s="787">
        <f>1271.9999/4220.9801</f>
        <v>0.3013517879</v>
      </c>
      <c r="T10" s="791">
        <f>'REFERENCIA PML'!E23</f>
        <v>28.28</v>
      </c>
    </row>
    <row r="11" ht="15.75" customHeight="1">
      <c r="A11" s="729" t="s">
        <v>141</v>
      </c>
      <c r="B11" s="733"/>
      <c r="C11" s="733"/>
      <c r="D11" s="733"/>
      <c r="E11" s="733"/>
      <c r="F11" s="731"/>
      <c r="G11" s="792"/>
      <c r="H11" s="793"/>
      <c r="I11" s="771"/>
      <c r="J11" s="794"/>
      <c r="K11" s="771"/>
      <c r="L11" s="774"/>
      <c r="M11" s="775"/>
      <c r="N11" s="729"/>
      <c r="O11" s="729"/>
      <c r="P11" s="774"/>
      <c r="Q11" s="795"/>
      <c r="R11" s="729"/>
      <c r="S11" s="729"/>
      <c r="T11" s="796"/>
    </row>
    <row r="12" ht="15.75" customHeight="1">
      <c r="A12" s="797"/>
      <c r="B12" s="797"/>
      <c r="C12" s="798"/>
      <c r="D12" s="798"/>
      <c r="E12" s="798"/>
      <c r="F12" s="798"/>
      <c r="G12" s="799"/>
      <c r="H12" s="800"/>
      <c r="I12" s="798"/>
      <c r="J12" s="798"/>
      <c r="K12" s="798"/>
      <c r="L12" s="796"/>
      <c r="M12" s="800"/>
      <c r="N12" s="798"/>
      <c r="O12" s="798"/>
      <c r="P12" s="796"/>
      <c r="Q12" s="801"/>
      <c r="R12" s="798"/>
      <c r="S12" s="798"/>
      <c r="T12" s="796"/>
    </row>
    <row r="13" ht="15.75" customHeight="1">
      <c r="A13" s="797"/>
      <c r="B13" s="797"/>
      <c r="C13" s="798"/>
      <c r="D13" s="798"/>
      <c r="E13" s="798"/>
      <c r="F13" s="798"/>
      <c r="G13" s="799"/>
      <c r="H13" s="800"/>
      <c r="I13" s="798"/>
      <c r="J13" s="798"/>
      <c r="K13" s="798"/>
      <c r="L13" s="796"/>
      <c r="M13" s="800"/>
      <c r="N13" s="798"/>
      <c r="O13" s="798"/>
      <c r="P13" s="796"/>
      <c r="Q13" s="801"/>
      <c r="R13" s="798"/>
      <c r="S13" s="798"/>
      <c r="T13" s="796"/>
    </row>
    <row r="14" ht="15.75" customHeight="1">
      <c r="A14" s="797"/>
      <c r="B14" s="797"/>
      <c r="C14" s="798"/>
      <c r="D14" s="798"/>
      <c r="E14" s="798"/>
      <c r="F14" s="798"/>
      <c r="G14" s="799"/>
      <c r="H14" s="800"/>
      <c r="I14" s="798"/>
      <c r="J14" s="798"/>
      <c r="K14" s="798"/>
      <c r="L14" s="796"/>
      <c r="M14" s="800"/>
      <c r="N14" s="798"/>
      <c r="O14" s="798"/>
      <c r="P14" s="796"/>
      <c r="Q14" s="801"/>
      <c r="R14" s="798"/>
      <c r="S14" s="798"/>
      <c r="T14" s="796"/>
    </row>
    <row r="15" ht="15.75" customHeight="1">
      <c r="A15" s="797"/>
      <c r="B15" s="797"/>
      <c r="C15" s="798"/>
      <c r="D15" s="798"/>
      <c r="E15" s="798"/>
      <c r="F15" s="798"/>
      <c r="G15" s="799"/>
      <c r="H15" s="802"/>
      <c r="I15" s="803"/>
      <c r="J15" s="803"/>
      <c r="K15" s="803"/>
      <c r="L15" s="804"/>
      <c r="M15" s="802"/>
      <c r="N15" s="803"/>
      <c r="O15" s="803"/>
      <c r="P15" s="804"/>
      <c r="Q15" s="805"/>
      <c r="R15" s="803"/>
      <c r="S15" s="803"/>
      <c r="T15" s="804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mergeCells count="4">
    <mergeCell ref="B2:D2"/>
    <mergeCell ref="H2:L2"/>
    <mergeCell ref="M2:O2"/>
    <mergeCell ref="Q2:T2"/>
  </mergeCells>
  <printOptions/>
  <pageMargins bottom="1.0" footer="0.0" header="0.0" left="0.75" right="0.75" top="1.0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63"/>
    <col customWidth="1" min="2" max="2" width="11.0"/>
    <col customWidth="1" min="3" max="3" width="9.75"/>
    <col customWidth="1" min="4" max="4" width="8.38"/>
    <col customWidth="1" min="5" max="6" width="12.63"/>
  </cols>
  <sheetData>
    <row r="1" ht="15.75" customHeight="1">
      <c r="A1" s="7"/>
      <c r="B1" s="7"/>
      <c r="C1" s="7"/>
      <c r="D1" s="7"/>
      <c r="E1" s="7"/>
      <c r="F1" s="7"/>
    </row>
    <row r="2" ht="15.75" customHeight="1">
      <c r="A2" s="806" t="s">
        <v>32</v>
      </c>
      <c r="B2" s="488"/>
      <c r="C2" s="488"/>
      <c r="D2" s="489"/>
      <c r="E2" s="7"/>
      <c r="F2" s="7"/>
    </row>
    <row r="3" ht="15.75" customHeight="1">
      <c r="A3" s="495" t="s">
        <v>118</v>
      </c>
      <c r="B3" s="495" t="s">
        <v>122</v>
      </c>
      <c r="C3" s="496" t="s">
        <v>124</v>
      </c>
      <c r="D3" s="807" t="s">
        <v>125</v>
      </c>
      <c r="E3" s="7"/>
      <c r="F3" s="7"/>
    </row>
    <row r="4" ht="15.75" customHeight="1">
      <c r="A4" s="190" t="s">
        <v>34</v>
      </c>
      <c r="B4" s="194">
        <f>CONTROLE!D8</f>
        <v>394</v>
      </c>
      <c r="C4" s="193"/>
      <c r="D4" s="193">
        <f>SUM(B4:C4)</f>
        <v>394</v>
      </c>
      <c r="E4" s="7"/>
      <c r="F4" s="7"/>
    </row>
    <row r="5" ht="15.75" customHeight="1">
      <c r="A5" s="505" t="s">
        <v>91</v>
      </c>
      <c r="B5" s="508" t="s">
        <v>132</v>
      </c>
      <c r="C5" s="507" t="s">
        <v>132</v>
      </c>
      <c r="D5" s="507">
        <f>SUM(C5)</f>
        <v>0</v>
      </c>
      <c r="E5" s="7"/>
      <c r="F5" s="7"/>
    </row>
    <row r="6" ht="15.75" customHeight="1">
      <c r="A6" s="215" t="s">
        <v>98</v>
      </c>
      <c r="B6" s="218">
        <f>CONTROLE!D34</f>
        <v>449</v>
      </c>
      <c r="C6" s="218">
        <f>CONTROLE!G34</f>
        <v>300</v>
      </c>
      <c r="D6" s="218">
        <f>CONTROLE!H34</f>
        <v>749</v>
      </c>
      <c r="E6" s="7"/>
      <c r="F6" s="7"/>
    </row>
    <row r="7" ht="15.75" customHeight="1">
      <c r="A7" s="505" t="s">
        <v>103</v>
      </c>
      <c r="B7" s="507">
        <f>CONTROLE!D45</f>
        <v>338</v>
      </c>
      <c r="C7" s="507">
        <v>300.0</v>
      </c>
      <c r="D7" s="507">
        <f t="shared" ref="D7:D8" si="1">SUM(B7+C7)</f>
        <v>638</v>
      </c>
      <c r="E7" s="7"/>
      <c r="F7" s="7"/>
    </row>
    <row r="8" ht="15.75" customHeight="1">
      <c r="A8" s="190" t="s">
        <v>110</v>
      </c>
      <c r="B8" s="193">
        <f>CONTROLE!D65</f>
        <v>421</v>
      </c>
      <c r="C8" s="193">
        <f>CONTROLE!G65</f>
        <v>300</v>
      </c>
      <c r="D8" s="257">
        <f t="shared" si="1"/>
        <v>721</v>
      </c>
      <c r="E8" s="7"/>
      <c r="F8" s="7"/>
    </row>
    <row r="9" ht="15.75" customHeight="1">
      <c r="A9" s="505" t="s">
        <v>138</v>
      </c>
      <c r="B9" s="507">
        <f>CONTROLE!D81</f>
        <v>365</v>
      </c>
      <c r="C9" s="507">
        <f>CONTROLE!G81</f>
        <v>300</v>
      </c>
      <c r="D9" s="507">
        <f t="shared" ref="D9:D10" si="2">SUM(B9:C9)</f>
        <v>665</v>
      </c>
      <c r="E9" s="7"/>
      <c r="F9" s="7"/>
    </row>
    <row r="10" ht="15.75" customHeight="1">
      <c r="A10" s="532" t="s">
        <v>139</v>
      </c>
      <c r="B10" s="534">
        <f>CONTROLE!D97</f>
        <v>0</v>
      </c>
      <c r="C10" s="534">
        <f>CONTROLE!G97</f>
        <v>0</v>
      </c>
      <c r="D10" s="534">
        <f t="shared" si="2"/>
        <v>0</v>
      </c>
      <c r="E10" s="7"/>
      <c r="F10" s="7"/>
    </row>
    <row r="11" ht="15.75" customHeight="1">
      <c r="A11" s="190" t="s">
        <v>141</v>
      </c>
      <c r="B11" s="192"/>
      <c r="C11" s="193"/>
      <c r="D11" s="192"/>
      <c r="E11" s="7"/>
      <c r="F11" s="7"/>
    </row>
    <row r="12" ht="15.75" customHeight="1">
      <c r="A12" s="7"/>
      <c r="B12" s="7"/>
      <c r="C12" s="7"/>
      <c r="D12" s="7"/>
      <c r="E12" s="7"/>
      <c r="F12" s="7"/>
    </row>
    <row r="13" ht="15.75" customHeight="1">
      <c r="A13" s="7"/>
      <c r="B13" s="7"/>
      <c r="C13" s="7"/>
      <c r="D13" s="7"/>
      <c r="E13" s="7"/>
      <c r="F13" s="7"/>
    </row>
    <row r="14" ht="15.75" customHeight="1">
      <c r="A14" s="7"/>
      <c r="B14" s="7"/>
      <c r="C14" s="7"/>
      <c r="D14" s="7"/>
      <c r="E14" s="7"/>
      <c r="F14" s="7"/>
    </row>
    <row r="15" ht="15.75" customHeight="1">
      <c r="A15" s="7"/>
      <c r="B15" s="7"/>
      <c r="C15" s="7"/>
      <c r="D15" s="7"/>
      <c r="E15" s="7"/>
      <c r="F15" s="7"/>
    </row>
    <row r="16" ht="15.75" customHeight="1">
      <c r="A16" s="7"/>
      <c r="B16" s="7"/>
      <c r="C16" s="7"/>
      <c r="D16" s="7"/>
      <c r="E16" s="7"/>
      <c r="F16" s="7"/>
    </row>
    <row r="17" ht="15.75" customHeight="1">
      <c r="A17" s="7"/>
      <c r="B17" s="7"/>
      <c r="C17" s="7"/>
      <c r="D17" s="7"/>
      <c r="E17" s="7"/>
      <c r="F17" s="7"/>
    </row>
    <row r="18" ht="15.75" customHeight="1">
      <c r="A18" s="7"/>
      <c r="B18" s="7"/>
      <c r="C18" s="7"/>
      <c r="D18" s="7"/>
      <c r="E18" s="7"/>
      <c r="F18" s="7"/>
    </row>
    <row r="19" ht="15.75" customHeight="1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mergeCells count="1">
    <mergeCell ref="A2:D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25"/>
    <col customWidth="1" min="2" max="2" width="9.38"/>
    <col customWidth="1" min="3" max="3" width="8.75"/>
    <col customWidth="1" min="4" max="4" width="11.38"/>
    <col customWidth="1" min="5" max="5" width="10.0"/>
    <col customWidth="1" min="6" max="7" width="10.75"/>
    <col customWidth="1" min="8" max="8" width="10.0"/>
  </cols>
  <sheetData>
    <row r="1" ht="15.75" customHeight="1">
      <c r="A1" s="808" t="s">
        <v>188</v>
      </c>
      <c r="B1" s="809"/>
      <c r="C1" s="809"/>
      <c r="D1" s="809"/>
      <c r="E1" s="809"/>
      <c r="F1" s="809"/>
      <c r="G1" s="809"/>
      <c r="H1" s="810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</row>
    <row r="2" ht="33.75" customHeight="1">
      <c r="A2" s="811" t="s">
        <v>2</v>
      </c>
      <c r="B2" s="811" t="s">
        <v>189</v>
      </c>
      <c r="C2" s="811" t="s">
        <v>190</v>
      </c>
      <c r="D2" s="811" t="s">
        <v>191</v>
      </c>
      <c r="E2" s="811" t="s">
        <v>192</v>
      </c>
      <c r="F2" s="812" t="s">
        <v>109</v>
      </c>
      <c r="G2" s="812" t="s">
        <v>66</v>
      </c>
      <c r="H2" s="811" t="s">
        <v>193</v>
      </c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</row>
    <row r="3" ht="15.75" customHeight="1">
      <c r="A3" s="814" t="s">
        <v>34</v>
      </c>
      <c r="B3" s="815">
        <f>CONTROLE!L6</f>
        <v>129</v>
      </c>
      <c r="C3" s="815">
        <f>CONTROLE!M6</f>
        <v>24</v>
      </c>
      <c r="D3" s="816">
        <f>C3*CONTROLE!K6</f>
        <v>12</v>
      </c>
      <c r="E3" s="816">
        <f>CONTROLE!D6</f>
        <v>394</v>
      </c>
      <c r="F3" s="816">
        <f t="shared" ref="F3:F14" si="1">SUM(D3:E3)</f>
        <v>406</v>
      </c>
      <c r="G3" s="816" t="s">
        <v>132</v>
      </c>
      <c r="H3" s="816">
        <f t="shared" ref="H3:H9" si="2">SUM(F3:G3)</f>
        <v>406</v>
      </c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 ht="15.75" customHeight="1">
      <c r="A4" s="817" t="s">
        <v>91</v>
      </c>
      <c r="B4" s="818">
        <f>CONTROLE!L19</f>
        <v>1245</v>
      </c>
      <c r="C4" s="819">
        <f>CONTROLE!M19</f>
        <v>191</v>
      </c>
      <c r="D4" s="820">
        <f>CONTROLE!F19</f>
        <v>95.5</v>
      </c>
      <c r="E4" s="820">
        <f>CONTROLE!D19</f>
        <v>302</v>
      </c>
      <c r="F4" s="820">
        <f t="shared" si="1"/>
        <v>397.5</v>
      </c>
      <c r="G4" s="820">
        <v>300.0</v>
      </c>
      <c r="H4" s="820">
        <f t="shared" si="2"/>
        <v>697.5</v>
      </c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 ht="15.75" customHeight="1">
      <c r="A5" s="814" t="s">
        <v>98</v>
      </c>
      <c r="B5" s="821">
        <f>CONTROLE!L32</f>
        <v>1834</v>
      </c>
      <c r="C5" s="821">
        <f>CONTROLE!M32</f>
        <v>295</v>
      </c>
      <c r="D5" s="816">
        <f>CONTROLE!F32</f>
        <v>147.5</v>
      </c>
      <c r="E5" s="816">
        <f>CONTROLE!D32</f>
        <v>449</v>
      </c>
      <c r="F5" s="816">
        <f t="shared" si="1"/>
        <v>596.5</v>
      </c>
      <c r="G5" s="816" t="s">
        <v>194</v>
      </c>
      <c r="H5" s="816">
        <f t="shared" si="2"/>
        <v>596.5</v>
      </c>
      <c r="I5" s="822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 ht="15.75" customHeight="1">
      <c r="A6" s="823" t="s">
        <v>103</v>
      </c>
      <c r="B6" s="824">
        <v>2063.0</v>
      </c>
      <c r="C6" s="824">
        <v>621.0</v>
      </c>
      <c r="D6" s="825">
        <f>310.5</f>
        <v>310.5</v>
      </c>
      <c r="E6" s="825">
        <f>CONTROLE!D47</f>
        <v>338</v>
      </c>
      <c r="F6" s="826">
        <f t="shared" si="1"/>
        <v>648.5</v>
      </c>
      <c r="G6" s="825">
        <f>CONTROLE!G47</f>
        <v>300</v>
      </c>
      <c r="H6" s="826">
        <f t="shared" si="2"/>
        <v>948.5</v>
      </c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 ht="15.75" customHeight="1">
      <c r="A7" s="190" t="s">
        <v>110</v>
      </c>
      <c r="B7" s="827">
        <v>1447.0</v>
      </c>
      <c r="C7" s="827">
        <v>137.0</v>
      </c>
      <c r="D7" s="828">
        <v>68.5</v>
      </c>
      <c r="E7" s="828">
        <f>CONTROLE!D63</f>
        <v>421</v>
      </c>
      <c r="F7" s="829">
        <f t="shared" si="1"/>
        <v>489.5</v>
      </c>
      <c r="G7" s="828">
        <f>CONTROLE!G63</f>
        <v>300</v>
      </c>
      <c r="H7" s="829">
        <f t="shared" si="2"/>
        <v>789.5</v>
      </c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 ht="15.75" customHeight="1">
      <c r="A8" s="505" t="s">
        <v>138</v>
      </c>
      <c r="B8" s="830">
        <f>CONTROLE!L79</f>
        <v>2218</v>
      </c>
      <c r="C8" s="830">
        <f>CONTROLE!M79</f>
        <v>726</v>
      </c>
      <c r="D8" s="831">
        <f>CONTROLE!F79</f>
        <v>363</v>
      </c>
      <c r="E8" s="831">
        <f>CONTROLE!D79</f>
        <v>365</v>
      </c>
      <c r="F8" s="832">
        <f t="shared" si="1"/>
        <v>728</v>
      </c>
      <c r="G8" s="831">
        <f>CONTROLE!G79</f>
        <v>300</v>
      </c>
      <c r="H8" s="832">
        <f t="shared" si="2"/>
        <v>1028</v>
      </c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 ht="15.75" customHeight="1">
      <c r="A9" s="833" t="s">
        <v>139</v>
      </c>
      <c r="B9" s="834">
        <f>CONTROLE!L95</f>
        <v>2367</v>
      </c>
      <c r="C9" s="834">
        <f>CONTROLE!M95</f>
        <v>738</v>
      </c>
      <c r="D9" s="835">
        <f>C9*CONTROLE!K95</f>
        <v>369</v>
      </c>
      <c r="E9" s="835">
        <f>CONTROLE!D95</f>
        <v>379</v>
      </c>
      <c r="F9" s="836">
        <f t="shared" si="1"/>
        <v>748</v>
      </c>
      <c r="G9" s="835">
        <f>CONTROLE!G95</f>
        <v>300</v>
      </c>
      <c r="H9" s="836">
        <f t="shared" si="2"/>
        <v>1048</v>
      </c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 ht="15.75" customHeight="1">
      <c r="A10" s="837" t="s">
        <v>141</v>
      </c>
      <c r="B10" s="838"/>
      <c r="C10" s="838"/>
      <c r="D10" s="839"/>
      <c r="E10" s="840"/>
      <c r="F10" s="820">
        <f t="shared" si="1"/>
        <v>0</v>
      </c>
      <c r="G10" s="840"/>
      <c r="H10" s="820">
        <f t="shared" ref="H10:H14" si="3">SUM(E10:G10)</f>
        <v>0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 ht="15.75" customHeight="1">
      <c r="A11" s="841" t="s">
        <v>142</v>
      </c>
      <c r="B11" s="821"/>
      <c r="C11" s="821"/>
      <c r="D11" s="842"/>
      <c r="E11" s="843"/>
      <c r="F11" s="816">
        <f t="shared" si="1"/>
        <v>0</v>
      </c>
      <c r="G11" s="843"/>
      <c r="H11" s="816">
        <f t="shared" si="3"/>
        <v>0</v>
      </c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 ht="15.75" customHeight="1">
      <c r="A12" s="837" t="s">
        <v>143</v>
      </c>
      <c r="B12" s="838"/>
      <c r="C12" s="838"/>
      <c r="D12" s="839"/>
      <c r="E12" s="840"/>
      <c r="F12" s="820">
        <f t="shared" si="1"/>
        <v>0</v>
      </c>
      <c r="G12" s="840"/>
      <c r="H12" s="820">
        <f t="shared" si="3"/>
        <v>0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 ht="15.75" customHeight="1">
      <c r="A13" s="841" t="s">
        <v>144</v>
      </c>
      <c r="B13" s="821"/>
      <c r="C13" s="821"/>
      <c r="D13" s="842"/>
      <c r="E13" s="843"/>
      <c r="F13" s="816">
        <f t="shared" si="1"/>
        <v>0</v>
      </c>
      <c r="G13" s="843"/>
      <c r="H13" s="816">
        <f t="shared" si="3"/>
        <v>0</v>
      </c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 ht="15.75" customHeight="1">
      <c r="A14" s="837" t="s">
        <v>145</v>
      </c>
      <c r="B14" s="838"/>
      <c r="C14" s="838"/>
      <c r="D14" s="839"/>
      <c r="E14" s="840"/>
      <c r="F14" s="820">
        <f t="shared" si="1"/>
        <v>0</v>
      </c>
      <c r="G14" s="840"/>
      <c r="H14" s="820">
        <f t="shared" si="3"/>
        <v>0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 ht="15.75" customHeight="1">
      <c r="A15" s="166"/>
      <c r="B15" s="166"/>
      <c r="C15" s="166"/>
      <c r="D15" s="166"/>
      <c r="E15" s="166"/>
      <c r="F15" s="272"/>
      <c r="G15" s="272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 ht="15.75" customHeight="1">
      <c r="A16" s="166"/>
      <c r="B16" s="166"/>
      <c r="C16" s="166"/>
      <c r="D16" s="166"/>
      <c r="E16" s="166"/>
      <c r="F16" s="272"/>
      <c r="G16" s="272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 ht="15.75" customHeight="1">
      <c r="A17" s="166"/>
      <c r="B17" s="166"/>
      <c r="C17" s="166"/>
      <c r="D17" s="166"/>
      <c r="E17" s="166"/>
      <c r="F17" s="272"/>
      <c r="G17" s="272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 ht="15.75" customHeight="1">
      <c r="A18" s="166"/>
      <c r="B18" s="166"/>
      <c r="C18" s="166"/>
      <c r="D18" s="166"/>
      <c r="E18" s="166"/>
      <c r="F18" s="272"/>
      <c r="G18" s="272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 ht="15.75" customHeight="1">
      <c r="A19" s="166"/>
      <c r="B19" s="166"/>
      <c r="C19" s="166"/>
      <c r="D19" s="166"/>
      <c r="E19" s="166"/>
      <c r="F19" s="272"/>
      <c r="G19" s="272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 ht="15.75" customHeight="1">
      <c r="A20" s="166"/>
      <c r="B20" s="166"/>
      <c r="C20" s="166"/>
      <c r="D20" s="166"/>
      <c r="E20" s="166"/>
      <c r="F20" s="272"/>
      <c r="G20" s="272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 ht="15.75" customHeight="1">
      <c r="A21" s="166"/>
      <c r="B21" s="166"/>
      <c r="C21" s="166"/>
      <c r="D21" s="166"/>
      <c r="E21" s="166"/>
      <c r="F21" s="272"/>
      <c r="G21" s="272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 ht="15.75" customHeight="1">
      <c r="A22" s="166"/>
      <c r="B22" s="166"/>
      <c r="C22" s="166"/>
      <c r="D22" s="166"/>
      <c r="E22" s="166"/>
      <c r="F22" s="272"/>
      <c r="G22" s="272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 ht="15.75" customHeight="1">
      <c r="A23" s="166"/>
      <c r="B23" s="166"/>
      <c r="C23" s="166"/>
      <c r="D23" s="166"/>
      <c r="E23" s="166"/>
      <c r="F23" s="272"/>
      <c r="G23" s="272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 ht="15.75" customHeight="1">
      <c r="A24" s="166"/>
      <c r="B24" s="166"/>
      <c r="C24" s="166"/>
      <c r="D24" s="166"/>
      <c r="E24" s="166"/>
      <c r="F24" s="272"/>
      <c r="G24" s="272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 ht="15.75" customHeight="1">
      <c r="A25" s="166"/>
      <c r="B25" s="166"/>
      <c r="C25" s="166"/>
      <c r="D25" s="166"/>
      <c r="E25" s="166"/>
      <c r="F25" s="272"/>
      <c r="G25" s="272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 ht="15.75" customHeight="1">
      <c r="A26" s="166"/>
      <c r="B26" s="166"/>
      <c r="C26" s="166"/>
      <c r="D26" s="166"/>
      <c r="E26" s="166"/>
      <c r="F26" s="272"/>
      <c r="G26" s="272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 ht="15.75" customHeight="1">
      <c r="A27" s="166"/>
      <c r="B27" s="166"/>
      <c r="C27" s="166"/>
      <c r="D27" s="166"/>
      <c r="E27" s="166"/>
      <c r="F27" s="272"/>
      <c r="G27" s="2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 ht="15.75" customHeight="1">
      <c r="A28" s="166"/>
      <c r="B28" s="166"/>
      <c r="C28" s="166"/>
      <c r="D28" s="166"/>
      <c r="E28" s="166"/>
      <c r="F28" s="272"/>
      <c r="G28" s="272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 ht="15.75" customHeight="1">
      <c r="A29" s="166"/>
      <c r="B29" s="166"/>
      <c r="C29" s="166"/>
      <c r="D29" s="166"/>
      <c r="E29" s="166"/>
      <c r="F29" s="272"/>
      <c r="G29" s="272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 ht="15.75" customHeight="1">
      <c r="A30" s="166"/>
      <c r="B30" s="166"/>
      <c r="C30" s="166"/>
      <c r="D30" s="166"/>
      <c r="E30" s="166"/>
      <c r="F30" s="272"/>
      <c r="G30" s="272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 ht="15.75" customHeight="1">
      <c r="A31" s="166"/>
      <c r="B31" s="166"/>
      <c r="C31" s="166"/>
      <c r="D31" s="166"/>
      <c r="E31" s="166"/>
      <c r="F31" s="272"/>
      <c r="G31" s="272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 ht="15.75" customHeight="1">
      <c r="A32" s="166"/>
      <c r="B32" s="166"/>
      <c r="C32" s="166"/>
      <c r="D32" s="166"/>
      <c r="E32" s="166"/>
      <c r="F32" s="272"/>
      <c r="G32" s="272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 ht="15.75" customHeight="1">
      <c r="A33" s="166"/>
      <c r="B33" s="166"/>
      <c r="C33" s="166"/>
      <c r="D33" s="166"/>
      <c r="E33" s="166"/>
      <c r="F33" s="272"/>
      <c r="G33" s="272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 ht="15.75" customHeight="1">
      <c r="A34" s="166"/>
      <c r="B34" s="166"/>
      <c r="C34" s="166"/>
      <c r="D34" s="166"/>
      <c r="E34" s="166"/>
      <c r="F34" s="272"/>
      <c r="G34" s="272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 ht="15.75" customHeight="1">
      <c r="A35" s="166"/>
      <c r="B35" s="166"/>
      <c r="C35" s="166"/>
      <c r="D35" s="166"/>
      <c r="E35" s="166"/>
      <c r="F35" s="272"/>
      <c r="G35" s="272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 ht="15.75" customHeight="1">
      <c r="A36" s="166"/>
      <c r="B36" s="166"/>
      <c r="C36" s="166"/>
      <c r="D36" s="166"/>
      <c r="E36" s="166"/>
      <c r="F36" s="272"/>
      <c r="G36" s="27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 ht="15.75" customHeight="1">
      <c r="A37" s="166"/>
      <c r="B37" s="166"/>
      <c r="C37" s="166"/>
      <c r="D37" s="166"/>
      <c r="E37" s="166"/>
      <c r="F37" s="272"/>
      <c r="G37" s="272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 ht="15.75" customHeight="1">
      <c r="A38" s="166"/>
      <c r="B38" s="166"/>
      <c r="C38" s="166"/>
      <c r="D38" s="166"/>
      <c r="E38" s="166"/>
      <c r="F38" s="272"/>
      <c r="G38" s="272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 ht="15.75" customHeight="1">
      <c r="A39" s="166"/>
      <c r="B39" s="166"/>
      <c r="C39" s="166"/>
      <c r="D39" s="166"/>
      <c r="E39" s="166"/>
      <c r="F39" s="272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 ht="15.75" customHeight="1">
      <c r="A40" s="166"/>
      <c r="B40" s="166"/>
      <c r="C40" s="166"/>
      <c r="D40" s="166"/>
      <c r="E40" s="166"/>
      <c r="F40" s="272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 ht="15.75" customHeight="1">
      <c r="A41" s="166"/>
      <c r="B41" s="166"/>
      <c r="C41" s="166"/>
      <c r="D41" s="166"/>
      <c r="E41" s="166"/>
      <c r="F41" s="272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 ht="15.75" customHeight="1">
      <c r="A42" s="166"/>
      <c r="B42" s="166"/>
      <c r="C42" s="166"/>
      <c r="D42" s="166"/>
      <c r="E42" s="166"/>
      <c r="F42" s="272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 ht="15.75" customHeight="1">
      <c r="A43" s="166"/>
      <c r="B43" s="166"/>
      <c r="C43" s="166"/>
      <c r="D43" s="166"/>
      <c r="E43" s="166"/>
      <c r="F43" s="272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 ht="15.75" customHeight="1">
      <c r="A44" s="166"/>
      <c r="B44" s="166"/>
      <c r="C44" s="166"/>
      <c r="D44" s="166"/>
      <c r="E44" s="166"/>
      <c r="F44" s="272"/>
      <c r="G44" s="272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 ht="15.75" customHeight="1">
      <c r="A45" s="166"/>
      <c r="B45" s="166"/>
      <c r="C45" s="166"/>
      <c r="D45" s="166"/>
      <c r="E45" s="166"/>
      <c r="F45" s="272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 ht="15.75" customHeight="1">
      <c r="A46" s="166"/>
      <c r="B46" s="166"/>
      <c r="C46" s="166"/>
      <c r="D46" s="166"/>
      <c r="E46" s="166"/>
      <c r="F46" s="272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 ht="15.75" customHeight="1">
      <c r="A47" s="166"/>
      <c r="B47" s="166"/>
      <c r="C47" s="166"/>
      <c r="D47" s="166"/>
      <c r="E47" s="166"/>
      <c r="F47" s="272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 ht="15.75" customHeight="1">
      <c r="A48" s="166"/>
      <c r="B48" s="166"/>
      <c r="C48" s="166"/>
      <c r="D48" s="166"/>
      <c r="E48" s="166"/>
      <c r="F48" s="272"/>
      <c r="G48" s="272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 ht="15.75" customHeight="1">
      <c r="A49" s="166"/>
      <c r="B49" s="166"/>
      <c r="C49" s="166"/>
      <c r="D49" s="166"/>
      <c r="E49" s="166"/>
      <c r="F49" s="272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 ht="15.75" customHeight="1">
      <c r="A50" s="166"/>
      <c r="B50" s="166"/>
      <c r="C50" s="166"/>
      <c r="D50" s="166"/>
      <c r="E50" s="166"/>
      <c r="F50" s="272"/>
      <c r="G50" s="272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 ht="15.75" customHeight="1">
      <c r="A51" s="166"/>
      <c r="B51" s="166"/>
      <c r="C51" s="166"/>
      <c r="D51" s="166"/>
      <c r="E51" s="166"/>
      <c r="F51" s="272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 ht="15.75" customHeight="1">
      <c r="A52" s="166"/>
      <c r="B52" s="166"/>
      <c r="C52" s="166"/>
      <c r="D52" s="166"/>
      <c r="E52" s="166"/>
      <c r="F52" s="272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 ht="15.75" customHeight="1">
      <c r="A53" s="166"/>
      <c r="B53" s="166"/>
      <c r="C53" s="166"/>
      <c r="D53" s="166"/>
      <c r="E53" s="166"/>
      <c r="F53" s="272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 ht="15.75" customHeight="1">
      <c r="A54" s="166"/>
      <c r="B54" s="166"/>
      <c r="C54" s="166"/>
      <c r="D54" s="166"/>
      <c r="E54" s="166"/>
      <c r="F54" s="272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 ht="15.75" customHeight="1">
      <c r="A55" s="166"/>
      <c r="B55" s="166"/>
      <c r="C55" s="166"/>
      <c r="D55" s="166"/>
      <c r="E55" s="166"/>
      <c r="F55" s="272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 ht="15.75" customHeight="1">
      <c r="A56" s="166"/>
      <c r="B56" s="166"/>
      <c r="C56" s="166"/>
      <c r="D56" s="166"/>
      <c r="E56" s="166"/>
      <c r="F56" s="272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 ht="15.75" customHeight="1">
      <c r="A57" s="166"/>
      <c r="B57" s="166"/>
      <c r="C57" s="166"/>
      <c r="D57" s="166"/>
      <c r="E57" s="166"/>
      <c r="F57" s="272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 ht="15.75" customHeight="1">
      <c r="A58" s="166"/>
      <c r="B58" s="166"/>
      <c r="C58" s="166"/>
      <c r="D58" s="166"/>
      <c r="E58" s="166"/>
      <c r="F58" s="272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 ht="15.75" customHeight="1">
      <c r="A59" s="166"/>
      <c r="B59" s="166"/>
      <c r="C59" s="166"/>
      <c r="D59" s="166"/>
      <c r="E59" s="166"/>
      <c r="F59" s="272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 ht="15.75" customHeight="1">
      <c r="A60" s="166"/>
      <c r="B60" s="166"/>
      <c r="C60" s="166"/>
      <c r="D60" s="166"/>
      <c r="E60" s="166"/>
      <c r="F60" s="272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ht="15.75" customHeight="1">
      <c r="A61" s="166"/>
      <c r="B61" s="166"/>
      <c r="C61" s="166"/>
      <c r="D61" s="166"/>
      <c r="E61" s="166"/>
      <c r="F61" s="272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 ht="15.75" customHeight="1">
      <c r="A62" s="166"/>
      <c r="B62" s="166"/>
      <c r="C62" s="166"/>
      <c r="D62" s="166"/>
      <c r="E62" s="166"/>
      <c r="F62" s="272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 ht="15.75" customHeight="1">
      <c r="A63" s="166"/>
      <c r="B63" s="166"/>
      <c r="C63" s="166"/>
      <c r="D63" s="166"/>
      <c r="E63" s="166"/>
      <c r="F63" s="272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 ht="15.75" customHeight="1">
      <c r="A64" s="166"/>
      <c r="B64" s="166"/>
      <c r="C64" s="166"/>
      <c r="D64" s="166"/>
      <c r="E64" s="166"/>
      <c r="F64" s="272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 ht="15.75" customHeight="1">
      <c r="A65" s="166"/>
      <c r="B65" s="166"/>
      <c r="C65" s="166"/>
      <c r="D65" s="166"/>
      <c r="E65" s="166"/>
      <c r="F65" s="272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 ht="15.75" customHeight="1">
      <c r="A66" s="166"/>
      <c r="B66" s="166"/>
      <c r="C66" s="166"/>
      <c r="D66" s="166"/>
      <c r="E66" s="166"/>
      <c r="F66" s="272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 ht="15.75" customHeight="1">
      <c r="A67" s="166"/>
      <c r="B67" s="166"/>
      <c r="C67" s="166"/>
      <c r="D67" s="166"/>
      <c r="E67" s="166"/>
      <c r="F67" s="272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 ht="15.75" customHeight="1">
      <c r="A68" s="166"/>
      <c r="B68" s="166"/>
      <c r="C68" s="166"/>
      <c r="D68" s="166"/>
      <c r="E68" s="166"/>
      <c r="F68" s="272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 ht="15.75" customHeight="1">
      <c r="A69" s="166"/>
      <c r="B69" s="166"/>
      <c r="C69" s="166"/>
      <c r="D69" s="166"/>
      <c r="E69" s="166"/>
      <c r="F69" s="272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 ht="15.75" customHeight="1">
      <c r="A70" s="166"/>
      <c r="B70" s="166"/>
      <c r="C70" s="166"/>
      <c r="D70" s="166"/>
      <c r="E70" s="166"/>
      <c r="F70" s="272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 ht="15.75" customHeight="1">
      <c r="A71" s="166"/>
      <c r="B71" s="166"/>
      <c r="C71" s="166"/>
      <c r="D71" s="166"/>
      <c r="E71" s="166"/>
      <c r="F71" s="272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 ht="15.75" customHeight="1">
      <c r="A72" s="166"/>
      <c r="B72" s="166"/>
      <c r="C72" s="166"/>
      <c r="D72" s="166"/>
      <c r="E72" s="166"/>
      <c r="F72" s="272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 ht="15.75" customHeight="1">
      <c r="A73" s="166"/>
      <c r="B73" s="166"/>
      <c r="C73" s="166"/>
      <c r="D73" s="166"/>
      <c r="E73" s="166"/>
      <c r="F73" s="272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 ht="15.75" customHeight="1">
      <c r="A74" s="166"/>
      <c r="B74" s="166"/>
      <c r="C74" s="166"/>
      <c r="D74" s="166"/>
      <c r="E74" s="166"/>
      <c r="F74" s="272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 ht="15.75" customHeight="1">
      <c r="A75" s="166"/>
      <c r="B75" s="166"/>
      <c r="C75" s="166"/>
      <c r="D75" s="166"/>
      <c r="E75" s="166"/>
      <c r="F75" s="272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 ht="15.75" customHeight="1">
      <c r="A76" s="166"/>
      <c r="B76" s="166"/>
      <c r="C76" s="166"/>
      <c r="D76" s="166"/>
      <c r="E76" s="166"/>
      <c r="F76" s="272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 ht="15.75" customHeight="1">
      <c r="A77" s="166"/>
      <c r="B77" s="166"/>
      <c r="C77" s="166"/>
      <c r="D77" s="166"/>
      <c r="E77" s="166"/>
      <c r="F77" s="272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 ht="15.75" customHeight="1">
      <c r="A78" s="166"/>
      <c r="B78" s="166"/>
      <c r="C78" s="166"/>
      <c r="D78" s="166"/>
      <c r="E78" s="166"/>
      <c r="F78" s="272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 ht="15.75" customHeight="1">
      <c r="A79" s="166"/>
      <c r="B79" s="166"/>
      <c r="C79" s="166"/>
      <c r="D79" s="166"/>
      <c r="E79" s="166"/>
      <c r="F79" s="272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 ht="15.75" customHeight="1">
      <c r="A80" s="166"/>
      <c r="B80" s="166"/>
      <c r="C80" s="166"/>
      <c r="D80" s="166"/>
      <c r="E80" s="166"/>
      <c r="F80" s="272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 ht="15.75" customHeight="1">
      <c r="A81" s="166"/>
      <c r="B81" s="166"/>
      <c r="C81" s="166"/>
      <c r="D81" s="166"/>
      <c r="E81" s="166"/>
      <c r="F81" s="272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 ht="15.75" customHeight="1">
      <c r="A82" s="166"/>
      <c r="B82" s="166"/>
      <c r="C82" s="166"/>
      <c r="D82" s="166"/>
      <c r="E82" s="166"/>
      <c r="F82" s="272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 ht="15.75" customHeight="1">
      <c r="A83" s="166"/>
      <c r="B83" s="166"/>
      <c r="C83" s="166"/>
      <c r="D83" s="166"/>
      <c r="E83" s="166"/>
      <c r="F83" s="272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 ht="15.75" customHeight="1">
      <c r="A84" s="166"/>
      <c r="B84" s="166"/>
      <c r="C84" s="166"/>
      <c r="D84" s="166"/>
      <c r="E84" s="166"/>
      <c r="F84" s="272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 ht="15.75" customHeight="1">
      <c r="A85" s="166"/>
      <c r="B85" s="166"/>
      <c r="C85" s="166"/>
      <c r="D85" s="166"/>
      <c r="E85" s="166"/>
      <c r="F85" s="272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 ht="15.75" customHeight="1">
      <c r="A86" s="166"/>
      <c r="B86" s="166"/>
      <c r="C86" s="166"/>
      <c r="D86" s="166"/>
      <c r="E86" s="166"/>
      <c r="F86" s="272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 ht="15.75" customHeight="1">
      <c r="A87" s="166"/>
      <c r="B87" s="166"/>
      <c r="C87" s="166"/>
      <c r="D87" s="166"/>
      <c r="E87" s="166"/>
      <c r="F87" s="272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 ht="15.75" customHeight="1">
      <c r="A88" s="166"/>
      <c r="B88" s="166"/>
      <c r="C88" s="166"/>
      <c r="D88" s="166"/>
      <c r="E88" s="166"/>
      <c r="F88" s="272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 ht="15.75" customHeight="1">
      <c r="A89" s="166"/>
      <c r="B89" s="166"/>
      <c r="C89" s="166"/>
      <c r="D89" s="166"/>
      <c r="E89" s="166"/>
      <c r="F89" s="272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 ht="15.75" customHeight="1">
      <c r="A90" s="166"/>
      <c r="B90" s="166"/>
      <c r="C90" s="166"/>
      <c r="D90" s="166"/>
      <c r="E90" s="166"/>
      <c r="F90" s="272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 ht="15.75" customHeight="1">
      <c r="A91" s="166"/>
      <c r="B91" s="166"/>
      <c r="C91" s="166"/>
      <c r="D91" s="166"/>
      <c r="E91" s="166"/>
      <c r="F91" s="272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 ht="15.75" customHeight="1">
      <c r="A92" s="166"/>
      <c r="B92" s="166"/>
      <c r="C92" s="166"/>
      <c r="D92" s="166"/>
      <c r="E92" s="166"/>
      <c r="F92" s="272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 ht="15.75" customHeight="1">
      <c r="A93" s="166"/>
      <c r="B93" s="166"/>
      <c r="C93" s="166"/>
      <c r="D93" s="166"/>
      <c r="E93" s="166"/>
      <c r="F93" s="272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 ht="15.75" customHeight="1">
      <c r="A94" s="166"/>
      <c r="B94" s="166"/>
      <c r="C94" s="166"/>
      <c r="D94" s="166"/>
      <c r="E94" s="166"/>
      <c r="F94" s="272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 ht="15.75" customHeight="1">
      <c r="A95" s="166"/>
      <c r="B95" s="166"/>
      <c r="C95" s="166"/>
      <c r="D95" s="166"/>
      <c r="E95" s="166"/>
      <c r="F95" s="272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 ht="15.75" customHeight="1">
      <c r="A96" s="166"/>
      <c r="B96" s="166"/>
      <c r="C96" s="166"/>
      <c r="D96" s="166"/>
      <c r="E96" s="166"/>
      <c r="F96" s="272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 ht="15.75" customHeight="1">
      <c r="A97" s="166"/>
      <c r="B97" s="166"/>
      <c r="C97" s="166"/>
      <c r="D97" s="166"/>
      <c r="E97" s="166"/>
      <c r="F97" s="272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 ht="15.75" customHeight="1">
      <c r="A98" s="166"/>
      <c r="B98" s="166"/>
      <c r="C98" s="166"/>
      <c r="D98" s="166"/>
      <c r="E98" s="166"/>
      <c r="F98" s="272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 ht="15.75" customHeight="1">
      <c r="A99" s="166"/>
      <c r="B99" s="166"/>
      <c r="C99" s="166"/>
      <c r="D99" s="166"/>
      <c r="E99" s="166"/>
      <c r="F99" s="272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 ht="15.75" customHeight="1">
      <c r="A100" s="166"/>
      <c r="B100" s="166"/>
      <c r="C100" s="166"/>
      <c r="D100" s="166"/>
      <c r="E100" s="166"/>
      <c r="F100" s="272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 ht="15.75" customHeight="1">
      <c r="A101" s="166"/>
      <c r="B101" s="166"/>
      <c r="C101" s="166"/>
      <c r="D101" s="166"/>
      <c r="E101" s="166"/>
      <c r="F101" s="272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 ht="15.75" customHeight="1">
      <c r="A102" s="166"/>
      <c r="B102" s="166"/>
      <c r="C102" s="166"/>
      <c r="D102" s="166"/>
      <c r="E102" s="166"/>
      <c r="F102" s="272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 ht="15.75" customHeight="1">
      <c r="A103" s="166"/>
      <c r="B103" s="166"/>
      <c r="C103" s="166"/>
      <c r="D103" s="166"/>
      <c r="E103" s="166"/>
      <c r="F103" s="272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 ht="15.75" customHeight="1">
      <c r="A104" s="166"/>
      <c r="B104" s="166"/>
      <c r="C104" s="166"/>
      <c r="D104" s="166"/>
      <c r="E104" s="166"/>
      <c r="F104" s="272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 ht="15.75" customHeight="1">
      <c r="A105" s="166"/>
      <c r="B105" s="166"/>
      <c r="C105" s="166"/>
      <c r="D105" s="166"/>
      <c r="E105" s="166"/>
      <c r="F105" s="272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 ht="15.75" customHeight="1">
      <c r="A106" s="166"/>
      <c r="B106" s="166"/>
      <c r="C106" s="166"/>
      <c r="D106" s="166"/>
      <c r="E106" s="166"/>
      <c r="F106" s="272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 ht="15.75" customHeight="1">
      <c r="A107" s="166"/>
      <c r="B107" s="166"/>
      <c r="C107" s="166"/>
      <c r="D107" s="166"/>
      <c r="E107" s="166"/>
      <c r="F107" s="272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 ht="15.75" customHeight="1">
      <c r="A108" s="166"/>
      <c r="B108" s="166"/>
      <c r="C108" s="166"/>
      <c r="D108" s="166"/>
      <c r="E108" s="166"/>
      <c r="F108" s="272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 ht="15.75" customHeight="1">
      <c r="A109" s="166"/>
      <c r="B109" s="166"/>
      <c r="C109" s="166"/>
      <c r="D109" s="166"/>
      <c r="E109" s="166"/>
      <c r="F109" s="272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 ht="15.75" customHeight="1">
      <c r="A110" s="166"/>
      <c r="B110" s="166"/>
      <c r="C110" s="166"/>
      <c r="D110" s="166"/>
      <c r="E110" s="166"/>
      <c r="F110" s="272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 ht="15.75" customHeight="1">
      <c r="A111" s="166"/>
      <c r="B111" s="166"/>
      <c r="C111" s="166"/>
      <c r="D111" s="166"/>
      <c r="E111" s="166"/>
      <c r="F111" s="272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 ht="15.75" customHeight="1">
      <c r="A112" s="166"/>
      <c r="B112" s="166"/>
      <c r="C112" s="166"/>
      <c r="D112" s="166"/>
      <c r="E112" s="166"/>
      <c r="F112" s="272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 ht="15.75" customHeight="1">
      <c r="A113" s="166"/>
      <c r="B113" s="166"/>
      <c r="C113" s="166"/>
      <c r="D113" s="166"/>
      <c r="E113" s="166"/>
      <c r="F113" s="272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 ht="15.75" customHeight="1">
      <c r="A114" s="166"/>
      <c r="B114" s="166"/>
      <c r="C114" s="166"/>
      <c r="D114" s="166"/>
      <c r="E114" s="166"/>
      <c r="F114" s="272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 ht="15.75" customHeight="1">
      <c r="A115" s="166"/>
      <c r="B115" s="166"/>
      <c r="C115" s="166"/>
      <c r="D115" s="166"/>
      <c r="E115" s="166"/>
      <c r="F115" s="272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 ht="15.75" customHeight="1">
      <c r="A116" s="166"/>
      <c r="B116" s="166"/>
      <c r="C116" s="166"/>
      <c r="D116" s="166"/>
      <c r="E116" s="166"/>
      <c r="F116" s="272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 ht="15.75" customHeight="1">
      <c r="A117" s="166"/>
      <c r="B117" s="166"/>
      <c r="C117" s="166"/>
      <c r="D117" s="166"/>
      <c r="E117" s="166"/>
      <c r="F117" s="272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 ht="15.75" customHeight="1">
      <c r="A118" s="166"/>
      <c r="B118" s="166"/>
      <c r="C118" s="166"/>
      <c r="D118" s="166"/>
      <c r="E118" s="166"/>
      <c r="F118" s="272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 ht="15.75" customHeight="1">
      <c r="A119" s="166"/>
      <c r="B119" s="166"/>
      <c r="C119" s="166"/>
      <c r="D119" s="166"/>
      <c r="E119" s="166"/>
      <c r="F119" s="272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 ht="15.75" customHeight="1">
      <c r="A120" s="166"/>
      <c r="B120" s="166"/>
      <c r="C120" s="166"/>
      <c r="D120" s="166"/>
      <c r="E120" s="166"/>
      <c r="F120" s="272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 ht="15.75" customHeight="1">
      <c r="A121" s="166"/>
      <c r="B121" s="166"/>
      <c r="C121" s="166"/>
      <c r="D121" s="166"/>
      <c r="E121" s="166"/>
      <c r="F121" s="272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 ht="15.75" customHeight="1">
      <c r="A122" s="166"/>
      <c r="B122" s="166"/>
      <c r="C122" s="166"/>
      <c r="D122" s="166"/>
      <c r="E122" s="166"/>
      <c r="F122" s="272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 ht="15.75" customHeight="1">
      <c r="A123" s="166"/>
      <c r="B123" s="166"/>
      <c r="C123" s="166"/>
      <c r="D123" s="166"/>
      <c r="E123" s="166"/>
      <c r="F123" s="272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 ht="15.75" customHeight="1">
      <c r="A124" s="166"/>
      <c r="B124" s="166"/>
      <c r="C124" s="166"/>
      <c r="D124" s="166"/>
      <c r="E124" s="166"/>
      <c r="F124" s="272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 ht="15.75" customHeight="1">
      <c r="A125" s="166"/>
      <c r="B125" s="166"/>
      <c r="C125" s="166"/>
      <c r="D125" s="166"/>
      <c r="E125" s="166"/>
      <c r="F125" s="272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 ht="15.75" customHeight="1">
      <c r="A126" s="166"/>
      <c r="B126" s="166"/>
      <c r="C126" s="166"/>
      <c r="D126" s="166"/>
      <c r="E126" s="166"/>
      <c r="F126" s="272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 ht="15.75" customHeight="1">
      <c r="A127" s="166"/>
      <c r="B127" s="166"/>
      <c r="C127" s="166"/>
      <c r="D127" s="166"/>
      <c r="E127" s="166"/>
      <c r="F127" s="272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 ht="15.75" customHeight="1">
      <c r="A128" s="166"/>
      <c r="B128" s="166"/>
      <c r="C128" s="166"/>
      <c r="D128" s="166"/>
      <c r="E128" s="166"/>
      <c r="F128" s="272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 ht="15.75" customHeight="1">
      <c r="A129" s="166"/>
      <c r="B129" s="166"/>
      <c r="C129" s="166"/>
      <c r="D129" s="166"/>
      <c r="E129" s="166"/>
      <c r="F129" s="272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 ht="15.75" customHeight="1">
      <c r="A130" s="166"/>
      <c r="B130" s="166"/>
      <c r="C130" s="166"/>
      <c r="D130" s="166"/>
      <c r="E130" s="166"/>
      <c r="F130" s="272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 ht="15.75" customHeight="1">
      <c r="A131" s="166"/>
      <c r="B131" s="166"/>
      <c r="C131" s="166"/>
      <c r="D131" s="166"/>
      <c r="E131" s="166"/>
      <c r="F131" s="272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 ht="15.75" customHeight="1">
      <c r="A132" s="166"/>
      <c r="B132" s="166"/>
      <c r="C132" s="166"/>
      <c r="D132" s="166"/>
      <c r="E132" s="166"/>
      <c r="F132" s="272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 ht="15.75" customHeight="1">
      <c r="A133" s="166"/>
      <c r="B133" s="166"/>
      <c r="C133" s="166"/>
      <c r="D133" s="166"/>
      <c r="E133" s="166"/>
      <c r="F133" s="272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 ht="15.75" customHeight="1">
      <c r="A134" s="166"/>
      <c r="B134" s="166"/>
      <c r="C134" s="166"/>
      <c r="D134" s="166"/>
      <c r="E134" s="166"/>
      <c r="F134" s="272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 ht="15.75" customHeight="1">
      <c r="A135" s="166"/>
      <c r="B135" s="166"/>
      <c r="C135" s="166"/>
      <c r="D135" s="166"/>
      <c r="E135" s="166"/>
      <c r="F135" s="272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 ht="15.75" customHeight="1">
      <c r="A136" s="166"/>
      <c r="B136" s="166"/>
      <c r="C136" s="166"/>
      <c r="D136" s="166"/>
      <c r="E136" s="166"/>
      <c r="F136" s="272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 ht="15.75" customHeight="1">
      <c r="A137" s="166"/>
      <c r="B137" s="166"/>
      <c r="C137" s="166"/>
      <c r="D137" s="166"/>
      <c r="E137" s="166"/>
      <c r="F137" s="272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 ht="15.75" customHeight="1">
      <c r="A138" s="166"/>
      <c r="B138" s="166"/>
      <c r="C138" s="166"/>
      <c r="D138" s="166"/>
      <c r="E138" s="166"/>
      <c r="F138" s="272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 ht="15.75" customHeight="1">
      <c r="A139" s="166"/>
      <c r="B139" s="166"/>
      <c r="C139" s="166"/>
      <c r="D139" s="166"/>
      <c r="E139" s="166"/>
      <c r="F139" s="272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 ht="15.75" customHeight="1">
      <c r="A140" s="166"/>
      <c r="B140" s="166"/>
      <c r="C140" s="166"/>
      <c r="D140" s="166"/>
      <c r="E140" s="166"/>
      <c r="F140" s="272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 ht="15.75" customHeight="1">
      <c r="A141" s="166"/>
      <c r="B141" s="166"/>
      <c r="C141" s="166"/>
      <c r="D141" s="166"/>
      <c r="E141" s="166"/>
      <c r="F141" s="272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 ht="15.75" customHeight="1">
      <c r="A142" s="166"/>
      <c r="B142" s="166"/>
      <c r="C142" s="166"/>
      <c r="D142" s="166"/>
      <c r="E142" s="166"/>
      <c r="F142" s="272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 ht="15.75" customHeight="1">
      <c r="A143" s="166"/>
      <c r="B143" s="166"/>
      <c r="C143" s="166"/>
      <c r="D143" s="166"/>
      <c r="E143" s="166"/>
      <c r="F143" s="272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 ht="15.75" customHeight="1">
      <c r="A144" s="166"/>
      <c r="B144" s="166"/>
      <c r="C144" s="166"/>
      <c r="D144" s="166"/>
      <c r="E144" s="166"/>
      <c r="F144" s="272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 ht="15.75" customHeight="1">
      <c r="A145" s="166"/>
      <c r="B145" s="166"/>
      <c r="C145" s="166"/>
      <c r="D145" s="166"/>
      <c r="E145" s="166"/>
      <c r="F145" s="272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 ht="15.75" customHeight="1">
      <c r="A146" s="166"/>
      <c r="B146" s="166"/>
      <c r="C146" s="166"/>
      <c r="D146" s="166"/>
      <c r="E146" s="166"/>
      <c r="F146" s="272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 ht="15.75" customHeight="1">
      <c r="A147" s="166"/>
      <c r="B147" s="166"/>
      <c r="C147" s="166"/>
      <c r="D147" s="166"/>
      <c r="E147" s="166"/>
      <c r="F147" s="272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 ht="15.75" customHeight="1">
      <c r="A148" s="166"/>
      <c r="B148" s="166"/>
      <c r="C148" s="166"/>
      <c r="D148" s="166"/>
      <c r="E148" s="166"/>
      <c r="F148" s="272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 ht="15.75" customHeight="1">
      <c r="A149" s="166"/>
      <c r="B149" s="166"/>
      <c r="C149" s="166"/>
      <c r="D149" s="166"/>
      <c r="E149" s="166"/>
      <c r="F149" s="272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 ht="15.75" customHeight="1">
      <c r="A150" s="166"/>
      <c r="B150" s="166"/>
      <c r="C150" s="166"/>
      <c r="D150" s="166"/>
      <c r="E150" s="166"/>
      <c r="F150" s="272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 ht="15.75" customHeight="1">
      <c r="A151" s="166"/>
      <c r="B151" s="166"/>
      <c r="C151" s="166"/>
      <c r="D151" s="166"/>
      <c r="E151" s="166"/>
      <c r="F151" s="272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 ht="15.75" customHeight="1">
      <c r="A152" s="166"/>
      <c r="B152" s="166"/>
      <c r="C152" s="166"/>
      <c r="D152" s="166"/>
      <c r="E152" s="166"/>
      <c r="F152" s="272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 ht="15.75" customHeight="1">
      <c r="A153" s="166"/>
      <c r="B153" s="166"/>
      <c r="C153" s="166"/>
      <c r="D153" s="166"/>
      <c r="E153" s="166"/>
      <c r="F153" s="272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 ht="15.75" customHeight="1">
      <c r="A154" s="166"/>
      <c r="B154" s="166"/>
      <c r="C154" s="166"/>
      <c r="D154" s="166"/>
      <c r="E154" s="166"/>
      <c r="F154" s="272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 ht="15.75" customHeight="1">
      <c r="A155" s="166"/>
      <c r="B155" s="166"/>
      <c r="C155" s="166"/>
      <c r="D155" s="166"/>
      <c r="E155" s="166"/>
      <c r="F155" s="272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 ht="15.75" customHeight="1">
      <c r="A156" s="166"/>
      <c r="B156" s="166"/>
      <c r="C156" s="166"/>
      <c r="D156" s="166"/>
      <c r="E156" s="166"/>
      <c r="F156" s="272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 ht="15.75" customHeight="1">
      <c r="A157" s="166"/>
      <c r="B157" s="166"/>
      <c r="C157" s="166"/>
      <c r="D157" s="166"/>
      <c r="E157" s="166"/>
      <c r="F157" s="272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 ht="15.75" customHeight="1">
      <c r="A158" s="166"/>
      <c r="B158" s="166"/>
      <c r="C158" s="166"/>
      <c r="D158" s="166"/>
      <c r="E158" s="166"/>
      <c r="F158" s="272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 ht="15.75" customHeight="1">
      <c r="A159" s="166"/>
      <c r="B159" s="166"/>
      <c r="C159" s="166"/>
      <c r="D159" s="166"/>
      <c r="E159" s="166"/>
      <c r="F159" s="272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 ht="15.75" customHeight="1">
      <c r="A160" s="166"/>
      <c r="B160" s="166"/>
      <c r="C160" s="166"/>
      <c r="D160" s="166"/>
      <c r="E160" s="166"/>
      <c r="F160" s="272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 ht="15.75" customHeight="1">
      <c r="A161" s="166"/>
      <c r="B161" s="166"/>
      <c r="C161" s="166"/>
      <c r="D161" s="166"/>
      <c r="E161" s="166"/>
      <c r="F161" s="272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 ht="15.75" customHeight="1">
      <c r="A162" s="166"/>
      <c r="B162" s="166"/>
      <c r="C162" s="166"/>
      <c r="D162" s="166"/>
      <c r="E162" s="166"/>
      <c r="F162" s="272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 ht="15.75" customHeight="1">
      <c r="A163" s="166"/>
      <c r="B163" s="166"/>
      <c r="C163" s="166"/>
      <c r="D163" s="166"/>
      <c r="E163" s="166"/>
      <c r="F163" s="272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 ht="15.75" customHeight="1">
      <c r="A164" s="166"/>
      <c r="B164" s="166"/>
      <c r="C164" s="166"/>
      <c r="D164" s="166"/>
      <c r="E164" s="166"/>
      <c r="F164" s="272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 ht="15.75" customHeight="1">
      <c r="A165" s="166"/>
      <c r="B165" s="166"/>
      <c r="C165" s="166"/>
      <c r="D165" s="166"/>
      <c r="E165" s="166"/>
      <c r="F165" s="272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 ht="15.75" customHeight="1">
      <c r="A166" s="166"/>
      <c r="B166" s="166"/>
      <c r="C166" s="166"/>
      <c r="D166" s="166"/>
      <c r="E166" s="166"/>
      <c r="F166" s="272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 ht="15.75" customHeight="1">
      <c r="A167" s="166"/>
      <c r="B167" s="166"/>
      <c r="C167" s="166"/>
      <c r="D167" s="166"/>
      <c r="E167" s="166"/>
      <c r="F167" s="272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 ht="15.75" customHeight="1">
      <c r="A168" s="166"/>
      <c r="B168" s="166"/>
      <c r="C168" s="166"/>
      <c r="D168" s="166"/>
      <c r="E168" s="166"/>
      <c r="F168" s="272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 ht="15.75" customHeight="1">
      <c r="A169" s="166"/>
      <c r="B169" s="166"/>
      <c r="C169" s="166"/>
      <c r="D169" s="166"/>
      <c r="E169" s="166"/>
      <c r="F169" s="272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 ht="15.75" customHeight="1">
      <c r="A170" s="166"/>
      <c r="B170" s="166"/>
      <c r="C170" s="166"/>
      <c r="D170" s="166"/>
      <c r="E170" s="166"/>
      <c r="F170" s="272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 ht="15.75" customHeight="1">
      <c r="A171" s="166"/>
      <c r="B171" s="166"/>
      <c r="C171" s="166"/>
      <c r="D171" s="166"/>
      <c r="E171" s="166"/>
      <c r="F171" s="272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 ht="15.75" customHeight="1">
      <c r="A172" s="166"/>
      <c r="B172" s="166"/>
      <c r="C172" s="166"/>
      <c r="D172" s="166"/>
      <c r="E172" s="166"/>
      <c r="F172" s="272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 ht="15.75" customHeight="1">
      <c r="A173" s="166"/>
      <c r="B173" s="166"/>
      <c r="C173" s="166"/>
      <c r="D173" s="166"/>
      <c r="E173" s="166"/>
      <c r="F173" s="272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 ht="15.75" customHeight="1">
      <c r="A174" s="166"/>
      <c r="B174" s="166"/>
      <c r="C174" s="166"/>
      <c r="D174" s="166"/>
      <c r="E174" s="166"/>
      <c r="F174" s="272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 ht="15.75" customHeight="1">
      <c r="A175" s="166"/>
      <c r="B175" s="166"/>
      <c r="C175" s="166"/>
      <c r="D175" s="166"/>
      <c r="E175" s="166"/>
      <c r="F175" s="272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 ht="15.75" customHeight="1">
      <c r="A176" s="166"/>
      <c r="B176" s="166"/>
      <c r="C176" s="166"/>
      <c r="D176" s="166"/>
      <c r="E176" s="166"/>
      <c r="F176" s="272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 ht="15.75" customHeight="1">
      <c r="A177" s="166"/>
      <c r="B177" s="166"/>
      <c r="C177" s="166"/>
      <c r="D177" s="166"/>
      <c r="E177" s="166"/>
      <c r="F177" s="272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 ht="15.75" customHeight="1">
      <c r="A178" s="166"/>
      <c r="B178" s="166"/>
      <c r="C178" s="166"/>
      <c r="D178" s="166"/>
      <c r="E178" s="166"/>
      <c r="F178" s="272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 ht="15.75" customHeight="1">
      <c r="A179" s="166"/>
      <c r="B179" s="166"/>
      <c r="C179" s="166"/>
      <c r="D179" s="166"/>
      <c r="E179" s="166"/>
      <c r="F179" s="272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 ht="15.75" customHeight="1">
      <c r="A180" s="166"/>
      <c r="B180" s="166"/>
      <c r="C180" s="166"/>
      <c r="D180" s="166"/>
      <c r="E180" s="166"/>
      <c r="F180" s="272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 ht="15.75" customHeight="1">
      <c r="A181" s="166"/>
      <c r="B181" s="166"/>
      <c r="C181" s="166"/>
      <c r="D181" s="166"/>
      <c r="E181" s="166"/>
      <c r="F181" s="272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 ht="15.75" customHeight="1">
      <c r="A182" s="166"/>
      <c r="B182" s="166"/>
      <c r="C182" s="166"/>
      <c r="D182" s="166"/>
      <c r="E182" s="166"/>
      <c r="F182" s="272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 ht="15.75" customHeight="1">
      <c r="A183" s="166"/>
      <c r="B183" s="166"/>
      <c r="C183" s="166"/>
      <c r="D183" s="166"/>
      <c r="E183" s="166"/>
      <c r="F183" s="272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 ht="15.75" customHeight="1">
      <c r="A184" s="166"/>
      <c r="B184" s="166"/>
      <c r="C184" s="166"/>
      <c r="D184" s="166"/>
      <c r="E184" s="166"/>
      <c r="F184" s="272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 ht="15.75" customHeight="1">
      <c r="A185" s="166"/>
      <c r="B185" s="166"/>
      <c r="C185" s="166"/>
      <c r="D185" s="166"/>
      <c r="E185" s="166"/>
      <c r="F185" s="272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 ht="15.75" customHeight="1">
      <c r="A186" s="166"/>
      <c r="B186" s="166"/>
      <c r="C186" s="166"/>
      <c r="D186" s="166"/>
      <c r="E186" s="166"/>
      <c r="F186" s="272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 ht="15.75" customHeight="1">
      <c r="A187" s="166"/>
      <c r="B187" s="166"/>
      <c r="C187" s="166"/>
      <c r="D187" s="166"/>
      <c r="E187" s="166"/>
      <c r="F187" s="272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ht="15.75" customHeight="1">
      <c r="A188" s="166"/>
      <c r="B188" s="166"/>
      <c r="C188" s="166"/>
      <c r="D188" s="166"/>
      <c r="E188" s="166"/>
      <c r="F188" s="272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ht="15.75" customHeight="1">
      <c r="A189" s="166"/>
      <c r="B189" s="166"/>
      <c r="C189" s="166"/>
      <c r="D189" s="166"/>
      <c r="E189" s="166"/>
      <c r="F189" s="272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ht="15.75" customHeight="1">
      <c r="A190" s="166"/>
      <c r="B190" s="166"/>
      <c r="C190" s="166"/>
      <c r="D190" s="166"/>
      <c r="E190" s="166"/>
      <c r="F190" s="272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ht="15.75" customHeight="1">
      <c r="A191" s="166"/>
      <c r="B191" s="166"/>
      <c r="C191" s="166"/>
      <c r="D191" s="166"/>
      <c r="E191" s="166"/>
      <c r="F191" s="272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 ht="15.75" customHeight="1">
      <c r="A192" s="166"/>
      <c r="B192" s="166"/>
      <c r="C192" s="166"/>
      <c r="D192" s="166"/>
      <c r="E192" s="166"/>
      <c r="F192" s="272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 ht="15.75" customHeight="1">
      <c r="A193" s="166"/>
      <c r="B193" s="166"/>
      <c r="C193" s="166"/>
      <c r="D193" s="166"/>
      <c r="E193" s="166"/>
      <c r="F193" s="272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 ht="15.75" customHeight="1">
      <c r="A194" s="166"/>
      <c r="B194" s="166"/>
      <c r="C194" s="166"/>
      <c r="D194" s="166"/>
      <c r="E194" s="166"/>
      <c r="F194" s="272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 ht="15.75" customHeight="1">
      <c r="A195" s="166"/>
      <c r="B195" s="166"/>
      <c r="C195" s="166"/>
      <c r="D195" s="166"/>
      <c r="E195" s="166"/>
      <c r="F195" s="272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 ht="15.75" customHeight="1">
      <c r="A196" s="166"/>
      <c r="B196" s="166"/>
      <c r="C196" s="166"/>
      <c r="D196" s="166"/>
      <c r="E196" s="166"/>
      <c r="F196" s="272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 ht="15.75" customHeight="1">
      <c r="A197" s="166"/>
      <c r="B197" s="166"/>
      <c r="C197" s="166"/>
      <c r="D197" s="166"/>
      <c r="E197" s="166"/>
      <c r="F197" s="272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 ht="15.75" customHeight="1">
      <c r="A198" s="166"/>
      <c r="B198" s="166"/>
      <c r="C198" s="166"/>
      <c r="D198" s="166"/>
      <c r="E198" s="166"/>
      <c r="F198" s="272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 ht="15.75" customHeight="1">
      <c r="A199" s="166"/>
      <c r="B199" s="166"/>
      <c r="C199" s="166"/>
      <c r="D199" s="166"/>
      <c r="E199" s="166"/>
      <c r="F199" s="272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 ht="15.75" customHeight="1">
      <c r="A200" s="166"/>
      <c r="B200" s="166"/>
      <c r="C200" s="166"/>
      <c r="D200" s="166"/>
      <c r="E200" s="166"/>
      <c r="F200" s="272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 ht="15.75" customHeight="1">
      <c r="A201" s="166"/>
      <c r="B201" s="166"/>
      <c r="C201" s="166"/>
      <c r="D201" s="166"/>
      <c r="E201" s="166"/>
      <c r="F201" s="272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 ht="15.75" customHeight="1">
      <c r="A202" s="166"/>
      <c r="B202" s="166"/>
      <c r="C202" s="166"/>
      <c r="D202" s="166"/>
      <c r="E202" s="166"/>
      <c r="F202" s="272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 ht="15.75" customHeight="1">
      <c r="A203" s="166"/>
      <c r="B203" s="166"/>
      <c r="C203" s="166"/>
      <c r="D203" s="166"/>
      <c r="E203" s="166"/>
      <c r="F203" s="272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 ht="15.75" customHeight="1">
      <c r="A204" s="166"/>
      <c r="B204" s="166"/>
      <c r="C204" s="166"/>
      <c r="D204" s="166"/>
      <c r="E204" s="166"/>
      <c r="F204" s="272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 ht="15.75" customHeight="1">
      <c r="A205" s="166"/>
      <c r="B205" s="166"/>
      <c r="C205" s="166"/>
      <c r="D205" s="166"/>
      <c r="E205" s="166"/>
      <c r="F205" s="272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 ht="15.75" customHeight="1">
      <c r="A206" s="166"/>
      <c r="B206" s="166"/>
      <c r="C206" s="166"/>
      <c r="D206" s="166"/>
      <c r="E206" s="166"/>
      <c r="F206" s="272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 ht="15.75" customHeight="1">
      <c r="A207" s="166"/>
      <c r="B207" s="166"/>
      <c r="C207" s="166"/>
      <c r="D207" s="166"/>
      <c r="E207" s="166"/>
      <c r="F207" s="272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 ht="15.75" customHeight="1">
      <c r="A208" s="166"/>
      <c r="B208" s="166"/>
      <c r="C208" s="166"/>
      <c r="D208" s="166"/>
      <c r="E208" s="166"/>
      <c r="F208" s="272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 ht="15.75" customHeight="1">
      <c r="A209" s="166"/>
      <c r="B209" s="166"/>
      <c r="C209" s="166"/>
      <c r="D209" s="166"/>
      <c r="E209" s="166"/>
      <c r="F209" s="272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 ht="15.75" customHeight="1">
      <c r="A210" s="166"/>
      <c r="B210" s="166"/>
      <c r="C210" s="166"/>
      <c r="D210" s="166"/>
      <c r="E210" s="166"/>
      <c r="F210" s="272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 ht="15.75" customHeight="1">
      <c r="A211" s="166"/>
      <c r="B211" s="166"/>
      <c r="C211" s="166"/>
      <c r="D211" s="166"/>
      <c r="E211" s="166"/>
      <c r="F211" s="272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 ht="15.75" customHeight="1">
      <c r="A212" s="166"/>
      <c r="B212" s="166"/>
      <c r="C212" s="166"/>
      <c r="D212" s="166"/>
      <c r="E212" s="166"/>
      <c r="F212" s="272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 ht="15.75" customHeight="1">
      <c r="A213" s="166"/>
      <c r="B213" s="166"/>
      <c r="C213" s="166"/>
      <c r="D213" s="166"/>
      <c r="E213" s="166"/>
      <c r="F213" s="272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 ht="15.75" customHeight="1">
      <c r="A214" s="166"/>
      <c r="B214" s="166"/>
      <c r="C214" s="166"/>
      <c r="D214" s="166"/>
      <c r="E214" s="166"/>
      <c r="F214" s="272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 ht="15.75" customHeight="1">
      <c r="A215" s="166"/>
      <c r="B215" s="166"/>
      <c r="C215" s="166"/>
      <c r="D215" s="166"/>
      <c r="E215" s="166"/>
      <c r="F215" s="272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 ht="15.75" customHeight="1">
      <c r="A216" s="166"/>
      <c r="B216" s="166"/>
      <c r="C216" s="166"/>
      <c r="D216" s="166"/>
      <c r="E216" s="166"/>
      <c r="F216" s="272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 ht="15.75" customHeight="1">
      <c r="A217" s="166"/>
      <c r="B217" s="166"/>
      <c r="C217" s="166"/>
      <c r="D217" s="166"/>
      <c r="E217" s="166"/>
      <c r="F217" s="272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 ht="15.75" customHeight="1">
      <c r="A218" s="166"/>
      <c r="B218" s="166"/>
      <c r="C218" s="166"/>
      <c r="D218" s="166"/>
      <c r="E218" s="166"/>
      <c r="F218" s="272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 ht="15.75" customHeight="1">
      <c r="A219" s="166"/>
      <c r="B219" s="166"/>
      <c r="C219" s="166"/>
      <c r="D219" s="166"/>
      <c r="E219" s="166"/>
      <c r="F219" s="272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 ht="15.75" customHeight="1">
      <c r="A220" s="166"/>
      <c r="B220" s="166"/>
      <c r="C220" s="166"/>
      <c r="D220" s="166"/>
      <c r="E220" s="166"/>
      <c r="F220" s="272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2.25"/>
    <col customWidth="1" min="2" max="2" width="9.38"/>
    <col customWidth="1" min="3" max="3" width="8.75"/>
    <col customWidth="1" min="4" max="4" width="11.38"/>
    <col customWidth="1" min="5" max="5" width="10.0"/>
    <col customWidth="1" min="6" max="7" width="10.75"/>
    <col customWidth="1" min="8" max="8" width="10.0"/>
  </cols>
  <sheetData>
    <row r="1" ht="15.75" customHeight="1">
      <c r="A1" s="844" t="s">
        <v>195</v>
      </c>
      <c r="B1" s="845"/>
      <c r="C1" s="845"/>
      <c r="D1" s="845"/>
      <c r="E1" s="845"/>
      <c r="F1" s="845"/>
      <c r="G1" s="845"/>
      <c r="H1" s="846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</row>
    <row r="2" ht="33.75" customHeight="1">
      <c r="A2" s="847" t="s">
        <v>2</v>
      </c>
      <c r="B2" s="811" t="s">
        <v>189</v>
      </c>
      <c r="C2" s="811" t="s">
        <v>190</v>
      </c>
      <c r="D2" s="811" t="s">
        <v>191</v>
      </c>
      <c r="E2" s="811" t="s">
        <v>192</v>
      </c>
      <c r="F2" s="812" t="s">
        <v>109</v>
      </c>
      <c r="G2" s="812" t="s">
        <v>66</v>
      </c>
      <c r="H2" s="848" t="s">
        <v>193</v>
      </c>
      <c r="I2" s="813"/>
      <c r="J2" s="813"/>
      <c r="K2" s="813"/>
      <c r="L2" s="813"/>
      <c r="M2" s="813"/>
      <c r="N2" s="813"/>
      <c r="O2" s="813"/>
      <c r="P2" s="813"/>
      <c r="Q2" s="813"/>
      <c r="R2" s="813"/>
      <c r="S2" s="813"/>
      <c r="T2" s="813"/>
      <c r="U2" s="813"/>
      <c r="V2" s="813"/>
      <c r="W2" s="813"/>
      <c r="X2" s="813"/>
      <c r="Y2" s="813"/>
      <c r="Z2" s="813"/>
      <c r="AA2" s="813"/>
    </row>
    <row r="3" ht="15.75" customHeight="1">
      <c r="A3" s="849" t="s">
        <v>34</v>
      </c>
      <c r="B3" s="815"/>
      <c r="C3" s="815"/>
      <c r="D3" s="816"/>
      <c r="E3" s="816"/>
      <c r="F3" s="816"/>
      <c r="G3" s="816" t="s">
        <v>132</v>
      </c>
      <c r="H3" s="850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 ht="15.75" customHeight="1">
      <c r="A4" s="851" t="s">
        <v>91</v>
      </c>
      <c r="B4" s="818"/>
      <c r="C4" s="819"/>
      <c r="D4" s="820"/>
      <c r="E4" s="820"/>
      <c r="F4" s="820"/>
      <c r="G4" s="820" t="s">
        <v>132</v>
      </c>
      <c r="H4" s="852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 ht="15.75" customHeight="1">
      <c r="A5" s="849" t="s">
        <v>98</v>
      </c>
      <c r="B5" s="821"/>
      <c r="C5" s="821"/>
      <c r="D5" s="816"/>
      <c r="E5" s="816"/>
      <c r="F5" s="816"/>
      <c r="G5" s="816" t="s">
        <v>132</v>
      </c>
      <c r="H5" s="850"/>
      <c r="I5" s="822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 ht="15.75" customHeight="1">
      <c r="A6" s="853" t="s">
        <v>103</v>
      </c>
      <c r="B6" s="824"/>
      <c r="C6" s="824"/>
      <c r="D6" s="825"/>
      <c r="E6" s="825"/>
      <c r="F6" s="826"/>
      <c r="G6" s="825" t="s">
        <v>132</v>
      </c>
      <c r="H6" s="854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 ht="15.75" customHeight="1">
      <c r="A7" s="855" t="s">
        <v>110</v>
      </c>
      <c r="B7" s="827"/>
      <c r="C7" s="827"/>
      <c r="D7" s="828"/>
      <c r="E7" s="828"/>
      <c r="F7" s="829"/>
      <c r="G7" s="828" t="s">
        <v>132</v>
      </c>
      <c r="H7" s="85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 ht="15.75" customHeight="1">
      <c r="A8" s="857" t="s">
        <v>138</v>
      </c>
      <c r="B8" s="858"/>
      <c r="C8" s="858"/>
      <c r="D8" s="859"/>
      <c r="E8" s="859"/>
      <c r="F8" s="860"/>
      <c r="G8" s="859" t="s">
        <v>132</v>
      </c>
      <c r="H8" s="861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 ht="15.75" customHeight="1">
      <c r="A9" s="862" t="s">
        <v>139</v>
      </c>
      <c r="B9" s="834">
        <f>CONTROLE!L96</f>
        <v>510</v>
      </c>
      <c r="C9" s="834">
        <f>CONTROLE!M96</f>
        <v>6</v>
      </c>
      <c r="D9" s="835">
        <f>C9*CONTROLE!K96</f>
        <v>1.8</v>
      </c>
      <c r="E9" s="835">
        <f>CONTROLE!D96</f>
        <v>0</v>
      </c>
      <c r="F9" s="836">
        <f t="shared" ref="F9:F14" si="1">SUM(D9:E9)</f>
        <v>1.8</v>
      </c>
      <c r="G9" s="835">
        <f>CONTROLE!G96</f>
        <v>154</v>
      </c>
      <c r="H9" s="863">
        <f>SUM(F9:G9)</f>
        <v>155.8</v>
      </c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 ht="15.75" customHeight="1">
      <c r="A10" s="864" t="s">
        <v>141</v>
      </c>
      <c r="B10" s="838"/>
      <c r="C10" s="838"/>
      <c r="D10" s="839"/>
      <c r="E10" s="840"/>
      <c r="F10" s="820">
        <f t="shared" si="1"/>
        <v>0</v>
      </c>
      <c r="G10" s="840"/>
      <c r="H10" s="852">
        <f t="shared" ref="H10:H14" si="2">SUM(E10:G10)</f>
        <v>0</v>
      </c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 ht="15.75" customHeight="1">
      <c r="A11" s="865" t="s">
        <v>142</v>
      </c>
      <c r="B11" s="821"/>
      <c r="C11" s="821"/>
      <c r="D11" s="842"/>
      <c r="E11" s="843"/>
      <c r="F11" s="816">
        <f t="shared" si="1"/>
        <v>0</v>
      </c>
      <c r="G11" s="843"/>
      <c r="H11" s="850">
        <f t="shared" si="2"/>
        <v>0</v>
      </c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 ht="15.75" customHeight="1">
      <c r="A12" s="864" t="s">
        <v>143</v>
      </c>
      <c r="B12" s="838"/>
      <c r="C12" s="838"/>
      <c r="D12" s="839"/>
      <c r="E12" s="840"/>
      <c r="F12" s="820">
        <f t="shared" si="1"/>
        <v>0</v>
      </c>
      <c r="G12" s="840"/>
      <c r="H12" s="852">
        <f t="shared" si="2"/>
        <v>0</v>
      </c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 ht="15.75" customHeight="1">
      <c r="A13" s="865" t="s">
        <v>144</v>
      </c>
      <c r="B13" s="821"/>
      <c r="C13" s="821"/>
      <c r="D13" s="842"/>
      <c r="E13" s="843"/>
      <c r="F13" s="816">
        <f t="shared" si="1"/>
        <v>0</v>
      </c>
      <c r="G13" s="843"/>
      <c r="H13" s="850">
        <f t="shared" si="2"/>
        <v>0</v>
      </c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 ht="15.75" customHeight="1">
      <c r="A14" s="866" t="s">
        <v>145</v>
      </c>
      <c r="B14" s="867"/>
      <c r="C14" s="867"/>
      <c r="D14" s="868"/>
      <c r="E14" s="869"/>
      <c r="F14" s="870">
        <f t="shared" si="1"/>
        <v>0</v>
      </c>
      <c r="G14" s="869"/>
      <c r="H14" s="871">
        <f t="shared" si="2"/>
        <v>0</v>
      </c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 ht="15.75" customHeight="1">
      <c r="A15" s="166"/>
      <c r="B15" s="166"/>
      <c r="C15" s="166"/>
      <c r="D15" s="166"/>
      <c r="E15" s="166"/>
      <c r="F15" s="272"/>
      <c r="G15" s="272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 ht="15.75" customHeight="1">
      <c r="A16" s="166"/>
      <c r="B16" s="166"/>
      <c r="C16" s="166"/>
      <c r="D16" s="166"/>
      <c r="E16" s="166"/>
      <c r="F16" s="272"/>
      <c r="G16" s="272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 ht="15.75" customHeight="1">
      <c r="A17" s="166"/>
      <c r="B17" s="166"/>
      <c r="C17" s="166"/>
      <c r="D17" s="166"/>
      <c r="E17" s="166"/>
      <c r="F17" s="272"/>
      <c r="G17" s="272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 ht="15.75" customHeight="1">
      <c r="A18" s="166"/>
      <c r="B18" s="166"/>
      <c r="C18" s="166"/>
      <c r="D18" s="166"/>
      <c r="E18" s="166"/>
      <c r="F18" s="272"/>
      <c r="G18" s="272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 ht="15.75" customHeight="1">
      <c r="A19" s="166"/>
      <c r="B19" s="166"/>
      <c r="C19" s="166"/>
      <c r="D19" s="166"/>
      <c r="E19" s="166"/>
      <c r="F19" s="272"/>
      <c r="G19" s="272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 ht="15.75" customHeight="1">
      <c r="A20" s="166"/>
      <c r="B20" s="166"/>
      <c r="C20" s="166"/>
      <c r="D20" s="166"/>
      <c r="E20" s="166"/>
      <c r="F20" s="272"/>
      <c r="G20" s="272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 ht="15.75" customHeight="1">
      <c r="A21" s="166"/>
      <c r="B21" s="166"/>
      <c r="C21" s="166"/>
      <c r="D21" s="166"/>
      <c r="E21" s="166"/>
      <c r="F21" s="272"/>
      <c r="G21" s="272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 ht="15.75" customHeight="1">
      <c r="A22" s="166"/>
      <c r="B22" s="166"/>
      <c r="C22" s="166"/>
      <c r="D22" s="166"/>
      <c r="E22" s="166"/>
      <c r="F22" s="272"/>
      <c r="G22" s="272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 ht="15.75" customHeight="1">
      <c r="A23" s="166"/>
      <c r="B23" s="166"/>
      <c r="C23" s="166"/>
      <c r="D23" s="166"/>
      <c r="E23" s="166"/>
      <c r="F23" s="272"/>
      <c r="G23" s="272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 ht="15.75" customHeight="1">
      <c r="A24" s="166"/>
      <c r="B24" s="166"/>
      <c r="C24" s="166"/>
      <c r="D24" s="166"/>
      <c r="E24" s="166"/>
      <c r="F24" s="272"/>
      <c r="G24" s="272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 ht="15.75" customHeight="1">
      <c r="A25" s="166"/>
      <c r="B25" s="166"/>
      <c r="C25" s="166"/>
      <c r="D25" s="166"/>
      <c r="E25" s="166"/>
      <c r="F25" s="272"/>
      <c r="G25" s="272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 ht="15.75" customHeight="1">
      <c r="A26" s="166"/>
      <c r="B26" s="166"/>
      <c r="C26" s="166"/>
      <c r="D26" s="166"/>
      <c r="E26" s="166"/>
      <c r="F26" s="272"/>
      <c r="G26" s="272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 ht="15.75" customHeight="1">
      <c r="A27" s="166"/>
      <c r="B27" s="166"/>
      <c r="C27" s="166"/>
      <c r="D27" s="166"/>
      <c r="E27" s="166"/>
      <c r="F27" s="272"/>
      <c r="G27" s="272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 ht="15.75" customHeight="1">
      <c r="A28" s="166"/>
      <c r="B28" s="166"/>
      <c r="C28" s="166"/>
      <c r="D28" s="166"/>
      <c r="E28" s="166"/>
      <c r="F28" s="272"/>
      <c r="G28" s="272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 ht="15.75" customHeight="1">
      <c r="A29" s="166"/>
      <c r="B29" s="166"/>
      <c r="C29" s="166"/>
      <c r="D29" s="166"/>
      <c r="E29" s="166"/>
      <c r="F29" s="272"/>
      <c r="G29" s="272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 ht="15.75" customHeight="1">
      <c r="A30" s="166"/>
      <c r="B30" s="166"/>
      <c r="C30" s="166"/>
      <c r="D30" s="166"/>
      <c r="E30" s="166"/>
      <c r="F30" s="272"/>
      <c r="G30" s="272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 ht="15.75" customHeight="1">
      <c r="A31" s="166"/>
      <c r="B31" s="166"/>
      <c r="C31" s="166"/>
      <c r="D31" s="166"/>
      <c r="E31" s="166"/>
      <c r="F31" s="272"/>
      <c r="G31" s="272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 ht="15.75" customHeight="1">
      <c r="A32" s="166"/>
      <c r="B32" s="166"/>
      <c r="C32" s="166"/>
      <c r="D32" s="166"/>
      <c r="E32" s="166"/>
      <c r="F32" s="272"/>
      <c r="G32" s="272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 ht="15.75" customHeight="1">
      <c r="A33" s="166"/>
      <c r="B33" s="166"/>
      <c r="C33" s="166"/>
      <c r="D33" s="166"/>
      <c r="E33" s="166"/>
      <c r="F33" s="272"/>
      <c r="G33" s="272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 ht="15.75" customHeight="1">
      <c r="A34" s="166"/>
      <c r="B34" s="166"/>
      <c r="C34" s="166"/>
      <c r="D34" s="166"/>
      <c r="E34" s="166"/>
      <c r="F34" s="272"/>
      <c r="G34" s="272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 ht="15.75" customHeight="1">
      <c r="A35" s="166"/>
      <c r="B35" s="166"/>
      <c r="C35" s="166"/>
      <c r="D35" s="166"/>
      <c r="E35" s="166"/>
      <c r="F35" s="272"/>
      <c r="G35" s="272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 ht="15.75" customHeight="1">
      <c r="A36" s="166"/>
      <c r="B36" s="166"/>
      <c r="C36" s="166"/>
      <c r="D36" s="166"/>
      <c r="E36" s="166"/>
      <c r="F36" s="272"/>
      <c r="G36" s="272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 ht="15.75" customHeight="1">
      <c r="A37" s="166"/>
      <c r="B37" s="166"/>
      <c r="C37" s="166"/>
      <c r="D37" s="166"/>
      <c r="E37" s="166"/>
      <c r="F37" s="272"/>
      <c r="G37" s="272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 ht="15.75" customHeight="1">
      <c r="A38" s="166"/>
      <c r="B38" s="166"/>
      <c r="C38" s="166"/>
      <c r="D38" s="166"/>
      <c r="E38" s="166"/>
      <c r="F38" s="272"/>
      <c r="G38" s="272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 ht="15.75" customHeight="1">
      <c r="A39" s="166"/>
      <c r="B39" s="166"/>
      <c r="C39" s="166"/>
      <c r="D39" s="166"/>
      <c r="E39" s="166"/>
      <c r="F39" s="272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 ht="15.75" customHeight="1">
      <c r="A40" s="166"/>
      <c r="B40" s="166"/>
      <c r="C40" s="166"/>
      <c r="D40" s="166"/>
      <c r="E40" s="166"/>
      <c r="F40" s="272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 ht="15.75" customHeight="1">
      <c r="A41" s="166"/>
      <c r="B41" s="166"/>
      <c r="C41" s="166"/>
      <c r="D41" s="166"/>
      <c r="E41" s="166"/>
      <c r="F41" s="272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 ht="15.75" customHeight="1">
      <c r="A42" s="166"/>
      <c r="B42" s="166"/>
      <c r="C42" s="166"/>
      <c r="D42" s="166"/>
      <c r="E42" s="166"/>
      <c r="F42" s="272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 ht="15.75" customHeight="1">
      <c r="A43" s="166"/>
      <c r="B43" s="166"/>
      <c r="C43" s="166"/>
      <c r="D43" s="166"/>
      <c r="E43" s="166"/>
      <c r="F43" s="272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 ht="15.75" customHeight="1">
      <c r="A44" s="166"/>
      <c r="B44" s="166"/>
      <c r="C44" s="166"/>
      <c r="D44" s="166"/>
      <c r="E44" s="166"/>
      <c r="F44" s="272"/>
      <c r="G44" s="272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 ht="15.75" customHeight="1">
      <c r="A45" s="166"/>
      <c r="B45" s="166"/>
      <c r="C45" s="166"/>
      <c r="D45" s="166"/>
      <c r="E45" s="166"/>
      <c r="F45" s="272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 ht="15.75" customHeight="1">
      <c r="A46" s="166"/>
      <c r="B46" s="166"/>
      <c r="C46" s="166"/>
      <c r="D46" s="166"/>
      <c r="E46" s="166"/>
      <c r="F46" s="272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 ht="15.75" customHeight="1">
      <c r="A47" s="166"/>
      <c r="B47" s="166"/>
      <c r="C47" s="166"/>
      <c r="D47" s="166"/>
      <c r="E47" s="166"/>
      <c r="F47" s="272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 ht="15.75" customHeight="1">
      <c r="A48" s="166"/>
      <c r="B48" s="166"/>
      <c r="C48" s="166"/>
      <c r="D48" s="166"/>
      <c r="E48" s="166"/>
      <c r="F48" s="272"/>
      <c r="G48" s="272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 ht="15.75" customHeight="1">
      <c r="A49" s="166"/>
      <c r="B49" s="166"/>
      <c r="C49" s="166"/>
      <c r="D49" s="166"/>
      <c r="E49" s="166"/>
      <c r="F49" s="272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 ht="15.75" customHeight="1">
      <c r="A50" s="166"/>
      <c r="B50" s="166"/>
      <c r="C50" s="166"/>
      <c r="D50" s="166"/>
      <c r="E50" s="166"/>
      <c r="F50" s="272"/>
      <c r="G50" s="272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 ht="15.75" customHeight="1">
      <c r="A51" s="166"/>
      <c r="B51" s="166"/>
      <c r="C51" s="166"/>
      <c r="D51" s="166"/>
      <c r="E51" s="166"/>
      <c r="F51" s="272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 ht="15.75" customHeight="1">
      <c r="A52" s="166"/>
      <c r="B52" s="166"/>
      <c r="C52" s="166"/>
      <c r="D52" s="166"/>
      <c r="E52" s="166"/>
      <c r="F52" s="272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 ht="15.75" customHeight="1">
      <c r="A53" s="166"/>
      <c r="B53" s="166"/>
      <c r="C53" s="166"/>
      <c r="D53" s="166"/>
      <c r="E53" s="166"/>
      <c r="F53" s="272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 ht="15.75" customHeight="1">
      <c r="A54" s="166"/>
      <c r="B54" s="166"/>
      <c r="C54" s="166"/>
      <c r="D54" s="166"/>
      <c r="E54" s="166"/>
      <c r="F54" s="272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 ht="15.75" customHeight="1">
      <c r="A55" s="166"/>
      <c r="B55" s="166"/>
      <c r="C55" s="166"/>
      <c r="D55" s="166"/>
      <c r="E55" s="166"/>
      <c r="F55" s="272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 ht="15.75" customHeight="1">
      <c r="A56" s="166"/>
      <c r="B56" s="166"/>
      <c r="C56" s="166"/>
      <c r="D56" s="166"/>
      <c r="E56" s="166"/>
      <c r="F56" s="272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 ht="15.75" customHeight="1">
      <c r="A57" s="166"/>
      <c r="B57" s="166"/>
      <c r="C57" s="166"/>
      <c r="D57" s="166"/>
      <c r="E57" s="166"/>
      <c r="F57" s="272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 ht="15.75" customHeight="1">
      <c r="A58" s="166"/>
      <c r="B58" s="166"/>
      <c r="C58" s="166"/>
      <c r="D58" s="166"/>
      <c r="E58" s="166"/>
      <c r="F58" s="272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 ht="15.75" customHeight="1">
      <c r="A59" s="166"/>
      <c r="B59" s="166"/>
      <c r="C59" s="166"/>
      <c r="D59" s="166"/>
      <c r="E59" s="166"/>
      <c r="F59" s="272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 ht="15.75" customHeight="1">
      <c r="A60" s="166"/>
      <c r="B60" s="166"/>
      <c r="C60" s="166"/>
      <c r="D60" s="166"/>
      <c r="E60" s="166"/>
      <c r="F60" s="272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ht="15.75" customHeight="1">
      <c r="A61" s="166"/>
      <c r="B61" s="166"/>
      <c r="C61" s="166"/>
      <c r="D61" s="166"/>
      <c r="E61" s="166"/>
      <c r="F61" s="272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 ht="15.75" customHeight="1">
      <c r="A62" s="166"/>
      <c r="B62" s="166"/>
      <c r="C62" s="166"/>
      <c r="D62" s="166"/>
      <c r="E62" s="166"/>
      <c r="F62" s="272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 ht="15.75" customHeight="1">
      <c r="A63" s="166"/>
      <c r="B63" s="166"/>
      <c r="C63" s="166"/>
      <c r="D63" s="166"/>
      <c r="E63" s="166"/>
      <c r="F63" s="272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 ht="15.75" customHeight="1">
      <c r="A64" s="166"/>
      <c r="B64" s="166"/>
      <c r="C64" s="166"/>
      <c r="D64" s="166"/>
      <c r="E64" s="166"/>
      <c r="F64" s="272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 ht="15.75" customHeight="1">
      <c r="A65" s="166"/>
      <c r="B65" s="166"/>
      <c r="C65" s="166"/>
      <c r="D65" s="166"/>
      <c r="E65" s="166"/>
      <c r="F65" s="272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 ht="15.75" customHeight="1">
      <c r="A66" s="166"/>
      <c r="B66" s="166"/>
      <c r="C66" s="166"/>
      <c r="D66" s="166"/>
      <c r="E66" s="166"/>
      <c r="F66" s="272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 ht="15.75" customHeight="1">
      <c r="A67" s="166"/>
      <c r="B67" s="166"/>
      <c r="C67" s="166"/>
      <c r="D67" s="166"/>
      <c r="E67" s="166"/>
      <c r="F67" s="272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 ht="15.75" customHeight="1">
      <c r="A68" s="166"/>
      <c r="B68" s="166"/>
      <c r="C68" s="166"/>
      <c r="D68" s="166"/>
      <c r="E68" s="166"/>
      <c r="F68" s="272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 ht="15.75" customHeight="1">
      <c r="A69" s="166"/>
      <c r="B69" s="166"/>
      <c r="C69" s="166"/>
      <c r="D69" s="166"/>
      <c r="E69" s="166"/>
      <c r="F69" s="272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 ht="15.75" customHeight="1">
      <c r="A70" s="166"/>
      <c r="B70" s="166"/>
      <c r="C70" s="166"/>
      <c r="D70" s="166"/>
      <c r="E70" s="166"/>
      <c r="F70" s="272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 ht="15.75" customHeight="1">
      <c r="A71" s="166"/>
      <c r="B71" s="166"/>
      <c r="C71" s="166"/>
      <c r="D71" s="166"/>
      <c r="E71" s="166"/>
      <c r="F71" s="272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 ht="15.75" customHeight="1">
      <c r="A72" s="166"/>
      <c r="B72" s="166"/>
      <c r="C72" s="166"/>
      <c r="D72" s="166"/>
      <c r="E72" s="166"/>
      <c r="F72" s="272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 ht="15.75" customHeight="1">
      <c r="A73" s="166"/>
      <c r="B73" s="166"/>
      <c r="C73" s="166"/>
      <c r="D73" s="166"/>
      <c r="E73" s="166"/>
      <c r="F73" s="272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 ht="15.75" customHeight="1">
      <c r="A74" s="166"/>
      <c r="B74" s="166"/>
      <c r="C74" s="166"/>
      <c r="D74" s="166"/>
      <c r="E74" s="166"/>
      <c r="F74" s="272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 ht="15.75" customHeight="1">
      <c r="A75" s="166"/>
      <c r="B75" s="166"/>
      <c r="C75" s="166"/>
      <c r="D75" s="166"/>
      <c r="E75" s="166"/>
      <c r="F75" s="272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 ht="15.75" customHeight="1">
      <c r="A76" s="166"/>
      <c r="B76" s="166"/>
      <c r="C76" s="166"/>
      <c r="D76" s="166"/>
      <c r="E76" s="166"/>
      <c r="F76" s="272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 ht="15.75" customHeight="1">
      <c r="A77" s="166"/>
      <c r="B77" s="166"/>
      <c r="C77" s="166"/>
      <c r="D77" s="166"/>
      <c r="E77" s="166"/>
      <c r="F77" s="272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 ht="15.75" customHeight="1">
      <c r="A78" s="166"/>
      <c r="B78" s="166"/>
      <c r="C78" s="166"/>
      <c r="D78" s="166"/>
      <c r="E78" s="166"/>
      <c r="F78" s="272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 ht="15.75" customHeight="1">
      <c r="A79" s="166"/>
      <c r="B79" s="166"/>
      <c r="C79" s="166"/>
      <c r="D79" s="166"/>
      <c r="E79" s="166"/>
      <c r="F79" s="272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 ht="15.75" customHeight="1">
      <c r="A80" s="166"/>
      <c r="B80" s="166"/>
      <c r="C80" s="166"/>
      <c r="D80" s="166"/>
      <c r="E80" s="166"/>
      <c r="F80" s="272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 ht="15.75" customHeight="1">
      <c r="A81" s="166"/>
      <c r="B81" s="166"/>
      <c r="C81" s="166"/>
      <c r="D81" s="166"/>
      <c r="E81" s="166"/>
      <c r="F81" s="272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 ht="15.75" customHeight="1">
      <c r="A82" s="166"/>
      <c r="B82" s="166"/>
      <c r="C82" s="166"/>
      <c r="D82" s="166"/>
      <c r="E82" s="166"/>
      <c r="F82" s="272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 ht="15.75" customHeight="1">
      <c r="A83" s="166"/>
      <c r="B83" s="166"/>
      <c r="C83" s="166"/>
      <c r="D83" s="166"/>
      <c r="E83" s="166"/>
      <c r="F83" s="272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 ht="15.75" customHeight="1">
      <c r="A84" s="166"/>
      <c r="B84" s="166"/>
      <c r="C84" s="166"/>
      <c r="D84" s="166"/>
      <c r="E84" s="166"/>
      <c r="F84" s="272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 ht="15.75" customHeight="1">
      <c r="A85" s="166"/>
      <c r="B85" s="166"/>
      <c r="C85" s="166"/>
      <c r="D85" s="166"/>
      <c r="E85" s="166"/>
      <c r="F85" s="272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 ht="15.75" customHeight="1">
      <c r="A86" s="166"/>
      <c r="B86" s="166"/>
      <c r="C86" s="166"/>
      <c r="D86" s="166"/>
      <c r="E86" s="166"/>
      <c r="F86" s="272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 ht="15.75" customHeight="1">
      <c r="A87" s="166"/>
      <c r="B87" s="166"/>
      <c r="C87" s="166"/>
      <c r="D87" s="166"/>
      <c r="E87" s="166"/>
      <c r="F87" s="272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 ht="15.75" customHeight="1">
      <c r="A88" s="166"/>
      <c r="B88" s="166"/>
      <c r="C88" s="166"/>
      <c r="D88" s="166"/>
      <c r="E88" s="166"/>
      <c r="F88" s="272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 ht="15.75" customHeight="1">
      <c r="A89" s="166"/>
      <c r="B89" s="166"/>
      <c r="C89" s="166"/>
      <c r="D89" s="166"/>
      <c r="E89" s="166"/>
      <c r="F89" s="272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 ht="15.75" customHeight="1">
      <c r="A90" s="166"/>
      <c r="B90" s="166"/>
      <c r="C90" s="166"/>
      <c r="D90" s="166"/>
      <c r="E90" s="166"/>
      <c r="F90" s="272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 ht="15.75" customHeight="1">
      <c r="A91" s="166"/>
      <c r="B91" s="166"/>
      <c r="C91" s="166"/>
      <c r="D91" s="166"/>
      <c r="E91" s="166"/>
      <c r="F91" s="272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 ht="15.75" customHeight="1">
      <c r="A92" s="166"/>
      <c r="B92" s="166"/>
      <c r="C92" s="166"/>
      <c r="D92" s="166"/>
      <c r="E92" s="166"/>
      <c r="F92" s="272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 ht="15.75" customHeight="1">
      <c r="A93" s="166"/>
      <c r="B93" s="166"/>
      <c r="C93" s="166"/>
      <c r="D93" s="166"/>
      <c r="E93" s="166"/>
      <c r="F93" s="272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 ht="15.75" customHeight="1">
      <c r="A94" s="166"/>
      <c r="B94" s="166"/>
      <c r="C94" s="166"/>
      <c r="D94" s="166"/>
      <c r="E94" s="166"/>
      <c r="F94" s="272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 ht="15.75" customHeight="1">
      <c r="A95" s="166"/>
      <c r="B95" s="166"/>
      <c r="C95" s="166"/>
      <c r="D95" s="166"/>
      <c r="E95" s="166"/>
      <c r="F95" s="272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 ht="15.75" customHeight="1">
      <c r="A96" s="166"/>
      <c r="B96" s="166"/>
      <c r="C96" s="166"/>
      <c r="D96" s="166"/>
      <c r="E96" s="166"/>
      <c r="F96" s="272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 ht="15.75" customHeight="1">
      <c r="A97" s="166"/>
      <c r="B97" s="166"/>
      <c r="C97" s="166"/>
      <c r="D97" s="166"/>
      <c r="E97" s="166"/>
      <c r="F97" s="272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 ht="15.75" customHeight="1">
      <c r="A98" s="166"/>
      <c r="B98" s="166"/>
      <c r="C98" s="166"/>
      <c r="D98" s="166"/>
      <c r="E98" s="166"/>
      <c r="F98" s="272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 ht="15.75" customHeight="1">
      <c r="A99" s="166"/>
      <c r="B99" s="166"/>
      <c r="C99" s="166"/>
      <c r="D99" s="166"/>
      <c r="E99" s="166"/>
      <c r="F99" s="272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 ht="15.75" customHeight="1">
      <c r="A100" s="166"/>
      <c r="B100" s="166"/>
      <c r="C100" s="166"/>
      <c r="D100" s="166"/>
      <c r="E100" s="166"/>
      <c r="F100" s="272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 ht="15.75" customHeight="1">
      <c r="A101" s="166"/>
      <c r="B101" s="166"/>
      <c r="C101" s="166"/>
      <c r="D101" s="166"/>
      <c r="E101" s="166"/>
      <c r="F101" s="272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 ht="15.75" customHeight="1">
      <c r="A102" s="166"/>
      <c r="B102" s="166"/>
      <c r="C102" s="166"/>
      <c r="D102" s="166"/>
      <c r="E102" s="166"/>
      <c r="F102" s="272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 ht="15.75" customHeight="1">
      <c r="A103" s="166"/>
      <c r="B103" s="166"/>
      <c r="C103" s="166"/>
      <c r="D103" s="166"/>
      <c r="E103" s="166"/>
      <c r="F103" s="272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 ht="15.75" customHeight="1">
      <c r="A104" s="166"/>
      <c r="B104" s="166"/>
      <c r="C104" s="166"/>
      <c r="D104" s="166"/>
      <c r="E104" s="166"/>
      <c r="F104" s="272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 ht="15.75" customHeight="1">
      <c r="A105" s="166"/>
      <c r="B105" s="166"/>
      <c r="C105" s="166"/>
      <c r="D105" s="166"/>
      <c r="E105" s="166"/>
      <c r="F105" s="272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 ht="15.75" customHeight="1">
      <c r="A106" s="166"/>
      <c r="B106" s="166"/>
      <c r="C106" s="166"/>
      <c r="D106" s="166"/>
      <c r="E106" s="166"/>
      <c r="F106" s="272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 ht="15.75" customHeight="1">
      <c r="A107" s="166"/>
      <c r="B107" s="166"/>
      <c r="C107" s="166"/>
      <c r="D107" s="166"/>
      <c r="E107" s="166"/>
      <c r="F107" s="272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 ht="15.75" customHeight="1">
      <c r="A108" s="166"/>
      <c r="B108" s="166"/>
      <c r="C108" s="166"/>
      <c r="D108" s="166"/>
      <c r="E108" s="166"/>
      <c r="F108" s="272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 ht="15.75" customHeight="1">
      <c r="A109" s="166"/>
      <c r="B109" s="166"/>
      <c r="C109" s="166"/>
      <c r="D109" s="166"/>
      <c r="E109" s="166"/>
      <c r="F109" s="272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 ht="15.75" customHeight="1">
      <c r="A110" s="166"/>
      <c r="B110" s="166"/>
      <c r="C110" s="166"/>
      <c r="D110" s="166"/>
      <c r="E110" s="166"/>
      <c r="F110" s="272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 ht="15.75" customHeight="1">
      <c r="A111" s="166"/>
      <c r="B111" s="166"/>
      <c r="C111" s="166"/>
      <c r="D111" s="166"/>
      <c r="E111" s="166"/>
      <c r="F111" s="272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 ht="15.75" customHeight="1">
      <c r="A112" s="166"/>
      <c r="B112" s="166"/>
      <c r="C112" s="166"/>
      <c r="D112" s="166"/>
      <c r="E112" s="166"/>
      <c r="F112" s="272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 ht="15.75" customHeight="1">
      <c r="A113" s="166"/>
      <c r="B113" s="166"/>
      <c r="C113" s="166"/>
      <c r="D113" s="166"/>
      <c r="E113" s="166"/>
      <c r="F113" s="272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 ht="15.75" customHeight="1">
      <c r="A114" s="166"/>
      <c r="B114" s="166"/>
      <c r="C114" s="166"/>
      <c r="D114" s="166"/>
      <c r="E114" s="166"/>
      <c r="F114" s="272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 ht="15.75" customHeight="1">
      <c r="A115" s="166"/>
      <c r="B115" s="166"/>
      <c r="C115" s="166"/>
      <c r="D115" s="166"/>
      <c r="E115" s="166"/>
      <c r="F115" s="272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 ht="15.75" customHeight="1">
      <c r="A116" s="166"/>
      <c r="B116" s="166"/>
      <c r="C116" s="166"/>
      <c r="D116" s="166"/>
      <c r="E116" s="166"/>
      <c r="F116" s="272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 ht="15.75" customHeight="1">
      <c r="A117" s="166"/>
      <c r="B117" s="166"/>
      <c r="C117" s="166"/>
      <c r="D117" s="166"/>
      <c r="E117" s="166"/>
      <c r="F117" s="272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 ht="15.75" customHeight="1">
      <c r="A118" s="166"/>
      <c r="B118" s="166"/>
      <c r="C118" s="166"/>
      <c r="D118" s="166"/>
      <c r="E118" s="166"/>
      <c r="F118" s="272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 ht="15.75" customHeight="1">
      <c r="A119" s="166"/>
      <c r="B119" s="166"/>
      <c r="C119" s="166"/>
      <c r="D119" s="166"/>
      <c r="E119" s="166"/>
      <c r="F119" s="272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 ht="15.75" customHeight="1">
      <c r="A120" s="166"/>
      <c r="B120" s="166"/>
      <c r="C120" s="166"/>
      <c r="D120" s="166"/>
      <c r="E120" s="166"/>
      <c r="F120" s="272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 ht="15.75" customHeight="1">
      <c r="A121" s="166"/>
      <c r="B121" s="166"/>
      <c r="C121" s="166"/>
      <c r="D121" s="166"/>
      <c r="E121" s="166"/>
      <c r="F121" s="272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 ht="15.75" customHeight="1">
      <c r="A122" s="166"/>
      <c r="B122" s="166"/>
      <c r="C122" s="166"/>
      <c r="D122" s="166"/>
      <c r="E122" s="166"/>
      <c r="F122" s="272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 ht="15.75" customHeight="1">
      <c r="A123" s="166"/>
      <c r="B123" s="166"/>
      <c r="C123" s="166"/>
      <c r="D123" s="166"/>
      <c r="E123" s="166"/>
      <c r="F123" s="272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 ht="15.75" customHeight="1">
      <c r="A124" s="166"/>
      <c r="B124" s="166"/>
      <c r="C124" s="166"/>
      <c r="D124" s="166"/>
      <c r="E124" s="166"/>
      <c r="F124" s="272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 ht="15.75" customHeight="1">
      <c r="A125" s="166"/>
      <c r="B125" s="166"/>
      <c r="C125" s="166"/>
      <c r="D125" s="166"/>
      <c r="E125" s="166"/>
      <c r="F125" s="272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 ht="15.75" customHeight="1">
      <c r="A126" s="166"/>
      <c r="B126" s="166"/>
      <c r="C126" s="166"/>
      <c r="D126" s="166"/>
      <c r="E126" s="166"/>
      <c r="F126" s="272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 ht="15.75" customHeight="1">
      <c r="A127" s="166"/>
      <c r="B127" s="166"/>
      <c r="C127" s="166"/>
      <c r="D127" s="166"/>
      <c r="E127" s="166"/>
      <c r="F127" s="272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 ht="15.75" customHeight="1">
      <c r="A128" s="166"/>
      <c r="B128" s="166"/>
      <c r="C128" s="166"/>
      <c r="D128" s="166"/>
      <c r="E128" s="166"/>
      <c r="F128" s="272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 ht="15.75" customHeight="1">
      <c r="A129" s="166"/>
      <c r="B129" s="166"/>
      <c r="C129" s="166"/>
      <c r="D129" s="166"/>
      <c r="E129" s="166"/>
      <c r="F129" s="272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 ht="15.75" customHeight="1">
      <c r="A130" s="166"/>
      <c r="B130" s="166"/>
      <c r="C130" s="166"/>
      <c r="D130" s="166"/>
      <c r="E130" s="166"/>
      <c r="F130" s="272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 ht="15.75" customHeight="1">
      <c r="A131" s="166"/>
      <c r="B131" s="166"/>
      <c r="C131" s="166"/>
      <c r="D131" s="166"/>
      <c r="E131" s="166"/>
      <c r="F131" s="272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 ht="15.75" customHeight="1">
      <c r="A132" s="166"/>
      <c r="B132" s="166"/>
      <c r="C132" s="166"/>
      <c r="D132" s="166"/>
      <c r="E132" s="166"/>
      <c r="F132" s="272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 ht="15.75" customHeight="1">
      <c r="A133" s="166"/>
      <c r="B133" s="166"/>
      <c r="C133" s="166"/>
      <c r="D133" s="166"/>
      <c r="E133" s="166"/>
      <c r="F133" s="272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 ht="15.75" customHeight="1">
      <c r="A134" s="166"/>
      <c r="B134" s="166"/>
      <c r="C134" s="166"/>
      <c r="D134" s="166"/>
      <c r="E134" s="166"/>
      <c r="F134" s="272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 ht="15.75" customHeight="1">
      <c r="A135" s="166"/>
      <c r="B135" s="166"/>
      <c r="C135" s="166"/>
      <c r="D135" s="166"/>
      <c r="E135" s="166"/>
      <c r="F135" s="272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 ht="15.75" customHeight="1">
      <c r="A136" s="166"/>
      <c r="B136" s="166"/>
      <c r="C136" s="166"/>
      <c r="D136" s="166"/>
      <c r="E136" s="166"/>
      <c r="F136" s="272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 ht="15.75" customHeight="1">
      <c r="A137" s="166"/>
      <c r="B137" s="166"/>
      <c r="C137" s="166"/>
      <c r="D137" s="166"/>
      <c r="E137" s="166"/>
      <c r="F137" s="272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 ht="15.75" customHeight="1">
      <c r="A138" s="166"/>
      <c r="B138" s="166"/>
      <c r="C138" s="166"/>
      <c r="D138" s="166"/>
      <c r="E138" s="166"/>
      <c r="F138" s="272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 ht="15.75" customHeight="1">
      <c r="A139" s="166"/>
      <c r="B139" s="166"/>
      <c r="C139" s="166"/>
      <c r="D139" s="166"/>
      <c r="E139" s="166"/>
      <c r="F139" s="272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 ht="15.75" customHeight="1">
      <c r="A140" s="166"/>
      <c r="B140" s="166"/>
      <c r="C140" s="166"/>
      <c r="D140" s="166"/>
      <c r="E140" s="166"/>
      <c r="F140" s="272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 ht="15.75" customHeight="1">
      <c r="A141" s="166"/>
      <c r="B141" s="166"/>
      <c r="C141" s="166"/>
      <c r="D141" s="166"/>
      <c r="E141" s="166"/>
      <c r="F141" s="272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 ht="15.75" customHeight="1">
      <c r="A142" s="166"/>
      <c r="B142" s="166"/>
      <c r="C142" s="166"/>
      <c r="D142" s="166"/>
      <c r="E142" s="166"/>
      <c r="F142" s="272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 ht="15.75" customHeight="1">
      <c r="A143" s="166"/>
      <c r="B143" s="166"/>
      <c r="C143" s="166"/>
      <c r="D143" s="166"/>
      <c r="E143" s="166"/>
      <c r="F143" s="272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 ht="15.75" customHeight="1">
      <c r="A144" s="166"/>
      <c r="B144" s="166"/>
      <c r="C144" s="166"/>
      <c r="D144" s="166"/>
      <c r="E144" s="166"/>
      <c r="F144" s="272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 ht="15.75" customHeight="1">
      <c r="A145" s="166"/>
      <c r="B145" s="166"/>
      <c r="C145" s="166"/>
      <c r="D145" s="166"/>
      <c r="E145" s="166"/>
      <c r="F145" s="272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 ht="15.75" customHeight="1">
      <c r="A146" s="166"/>
      <c r="B146" s="166"/>
      <c r="C146" s="166"/>
      <c r="D146" s="166"/>
      <c r="E146" s="166"/>
      <c r="F146" s="272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 ht="15.75" customHeight="1">
      <c r="A147" s="166"/>
      <c r="B147" s="166"/>
      <c r="C147" s="166"/>
      <c r="D147" s="166"/>
      <c r="E147" s="166"/>
      <c r="F147" s="272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 ht="15.75" customHeight="1">
      <c r="A148" s="166"/>
      <c r="B148" s="166"/>
      <c r="C148" s="166"/>
      <c r="D148" s="166"/>
      <c r="E148" s="166"/>
      <c r="F148" s="272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 ht="15.75" customHeight="1">
      <c r="A149" s="166"/>
      <c r="B149" s="166"/>
      <c r="C149" s="166"/>
      <c r="D149" s="166"/>
      <c r="E149" s="166"/>
      <c r="F149" s="272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 ht="15.75" customHeight="1">
      <c r="A150" s="166"/>
      <c r="B150" s="166"/>
      <c r="C150" s="166"/>
      <c r="D150" s="166"/>
      <c r="E150" s="166"/>
      <c r="F150" s="272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 ht="15.75" customHeight="1">
      <c r="A151" s="166"/>
      <c r="B151" s="166"/>
      <c r="C151" s="166"/>
      <c r="D151" s="166"/>
      <c r="E151" s="166"/>
      <c r="F151" s="272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 ht="15.75" customHeight="1">
      <c r="A152" s="166"/>
      <c r="B152" s="166"/>
      <c r="C152" s="166"/>
      <c r="D152" s="166"/>
      <c r="E152" s="166"/>
      <c r="F152" s="272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 ht="15.75" customHeight="1">
      <c r="A153" s="166"/>
      <c r="B153" s="166"/>
      <c r="C153" s="166"/>
      <c r="D153" s="166"/>
      <c r="E153" s="166"/>
      <c r="F153" s="272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 ht="15.75" customHeight="1">
      <c r="A154" s="166"/>
      <c r="B154" s="166"/>
      <c r="C154" s="166"/>
      <c r="D154" s="166"/>
      <c r="E154" s="166"/>
      <c r="F154" s="272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 ht="15.75" customHeight="1">
      <c r="A155" s="166"/>
      <c r="B155" s="166"/>
      <c r="C155" s="166"/>
      <c r="D155" s="166"/>
      <c r="E155" s="166"/>
      <c r="F155" s="272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 ht="15.75" customHeight="1">
      <c r="A156" s="166"/>
      <c r="B156" s="166"/>
      <c r="C156" s="166"/>
      <c r="D156" s="166"/>
      <c r="E156" s="166"/>
      <c r="F156" s="272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 ht="15.75" customHeight="1">
      <c r="A157" s="166"/>
      <c r="B157" s="166"/>
      <c r="C157" s="166"/>
      <c r="D157" s="166"/>
      <c r="E157" s="166"/>
      <c r="F157" s="272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 ht="15.75" customHeight="1">
      <c r="A158" s="166"/>
      <c r="B158" s="166"/>
      <c r="C158" s="166"/>
      <c r="D158" s="166"/>
      <c r="E158" s="166"/>
      <c r="F158" s="272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 ht="15.75" customHeight="1">
      <c r="A159" s="166"/>
      <c r="B159" s="166"/>
      <c r="C159" s="166"/>
      <c r="D159" s="166"/>
      <c r="E159" s="166"/>
      <c r="F159" s="272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 ht="15.75" customHeight="1">
      <c r="A160" s="166"/>
      <c r="B160" s="166"/>
      <c r="C160" s="166"/>
      <c r="D160" s="166"/>
      <c r="E160" s="166"/>
      <c r="F160" s="272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 ht="15.75" customHeight="1">
      <c r="A161" s="166"/>
      <c r="B161" s="166"/>
      <c r="C161" s="166"/>
      <c r="D161" s="166"/>
      <c r="E161" s="166"/>
      <c r="F161" s="272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 ht="15.75" customHeight="1">
      <c r="A162" s="166"/>
      <c r="B162" s="166"/>
      <c r="C162" s="166"/>
      <c r="D162" s="166"/>
      <c r="E162" s="166"/>
      <c r="F162" s="272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 ht="15.75" customHeight="1">
      <c r="A163" s="166"/>
      <c r="B163" s="166"/>
      <c r="C163" s="166"/>
      <c r="D163" s="166"/>
      <c r="E163" s="166"/>
      <c r="F163" s="272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 ht="15.75" customHeight="1">
      <c r="A164" s="166"/>
      <c r="B164" s="166"/>
      <c r="C164" s="166"/>
      <c r="D164" s="166"/>
      <c r="E164" s="166"/>
      <c r="F164" s="272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 ht="15.75" customHeight="1">
      <c r="A165" s="166"/>
      <c r="B165" s="166"/>
      <c r="C165" s="166"/>
      <c r="D165" s="166"/>
      <c r="E165" s="166"/>
      <c r="F165" s="272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 ht="15.75" customHeight="1">
      <c r="A166" s="166"/>
      <c r="B166" s="166"/>
      <c r="C166" s="166"/>
      <c r="D166" s="166"/>
      <c r="E166" s="166"/>
      <c r="F166" s="272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 ht="15.75" customHeight="1">
      <c r="A167" s="166"/>
      <c r="B167" s="166"/>
      <c r="C167" s="166"/>
      <c r="D167" s="166"/>
      <c r="E167" s="166"/>
      <c r="F167" s="272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 ht="15.75" customHeight="1">
      <c r="A168" s="166"/>
      <c r="B168" s="166"/>
      <c r="C168" s="166"/>
      <c r="D168" s="166"/>
      <c r="E168" s="166"/>
      <c r="F168" s="272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 ht="15.75" customHeight="1">
      <c r="A169" s="166"/>
      <c r="B169" s="166"/>
      <c r="C169" s="166"/>
      <c r="D169" s="166"/>
      <c r="E169" s="166"/>
      <c r="F169" s="272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 ht="15.75" customHeight="1">
      <c r="A170" s="166"/>
      <c r="B170" s="166"/>
      <c r="C170" s="166"/>
      <c r="D170" s="166"/>
      <c r="E170" s="166"/>
      <c r="F170" s="272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 ht="15.75" customHeight="1">
      <c r="A171" s="166"/>
      <c r="B171" s="166"/>
      <c r="C171" s="166"/>
      <c r="D171" s="166"/>
      <c r="E171" s="166"/>
      <c r="F171" s="272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 ht="15.75" customHeight="1">
      <c r="A172" s="166"/>
      <c r="B172" s="166"/>
      <c r="C172" s="166"/>
      <c r="D172" s="166"/>
      <c r="E172" s="166"/>
      <c r="F172" s="272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 ht="15.75" customHeight="1">
      <c r="A173" s="166"/>
      <c r="B173" s="166"/>
      <c r="C173" s="166"/>
      <c r="D173" s="166"/>
      <c r="E173" s="166"/>
      <c r="F173" s="272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 ht="15.75" customHeight="1">
      <c r="A174" s="166"/>
      <c r="B174" s="166"/>
      <c r="C174" s="166"/>
      <c r="D174" s="166"/>
      <c r="E174" s="166"/>
      <c r="F174" s="272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 ht="15.75" customHeight="1">
      <c r="A175" s="166"/>
      <c r="B175" s="166"/>
      <c r="C175" s="166"/>
      <c r="D175" s="166"/>
      <c r="E175" s="166"/>
      <c r="F175" s="272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 ht="15.75" customHeight="1">
      <c r="A176" s="166"/>
      <c r="B176" s="166"/>
      <c r="C176" s="166"/>
      <c r="D176" s="166"/>
      <c r="E176" s="166"/>
      <c r="F176" s="272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 ht="15.75" customHeight="1">
      <c r="A177" s="166"/>
      <c r="B177" s="166"/>
      <c r="C177" s="166"/>
      <c r="D177" s="166"/>
      <c r="E177" s="166"/>
      <c r="F177" s="272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 ht="15.75" customHeight="1">
      <c r="A178" s="166"/>
      <c r="B178" s="166"/>
      <c r="C178" s="166"/>
      <c r="D178" s="166"/>
      <c r="E178" s="166"/>
      <c r="F178" s="272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 ht="15.75" customHeight="1">
      <c r="A179" s="166"/>
      <c r="B179" s="166"/>
      <c r="C179" s="166"/>
      <c r="D179" s="166"/>
      <c r="E179" s="166"/>
      <c r="F179" s="272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 ht="15.75" customHeight="1">
      <c r="A180" s="166"/>
      <c r="B180" s="166"/>
      <c r="C180" s="166"/>
      <c r="D180" s="166"/>
      <c r="E180" s="166"/>
      <c r="F180" s="272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 ht="15.75" customHeight="1">
      <c r="A181" s="166"/>
      <c r="B181" s="166"/>
      <c r="C181" s="166"/>
      <c r="D181" s="166"/>
      <c r="E181" s="166"/>
      <c r="F181" s="272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 ht="15.75" customHeight="1">
      <c r="A182" s="166"/>
      <c r="B182" s="166"/>
      <c r="C182" s="166"/>
      <c r="D182" s="166"/>
      <c r="E182" s="166"/>
      <c r="F182" s="272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 ht="15.75" customHeight="1">
      <c r="A183" s="166"/>
      <c r="B183" s="166"/>
      <c r="C183" s="166"/>
      <c r="D183" s="166"/>
      <c r="E183" s="166"/>
      <c r="F183" s="272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 ht="15.75" customHeight="1">
      <c r="A184" s="166"/>
      <c r="B184" s="166"/>
      <c r="C184" s="166"/>
      <c r="D184" s="166"/>
      <c r="E184" s="166"/>
      <c r="F184" s="272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 ht="15.75" customHeight="1">
      <c r="A185" s="166"/>
      <c r="B185" s="166"/>
      <c r="C185" s="166"/>
      <c r="D185" s="166"/>
      <c r="E185" s="166"/>
      <c r="F185" s="272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 ht="15.75" customHeight="1">
      <c r="A186" s="166"/>
      <c r="B186" s="166"/>
      <c r="C186" s="166"/>
      <c r="D186" s="166"/>
      <c r="E186" s="166"/>
      <c r="F186" s="272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 ht="15.75" customHeight="1">
      <c r="A187" s="166"/>
      <c r="B187" s="166"/>
      <c r="C187" s="166"/>
      <c r="D187" s="166"/>
      <c r="E187" s="166"/>
      <c r="F187" s="272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ht="15.75" customHeight="1">
      <c r="A188" s="166"/>
      <c r="B188" s="166"/>
      <c r="C188" s="166"/>
      <c r="D188" s="166"/>
      <c r="E188" s="166"/>
      <c r="F188" s="272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ht="15.75" customHeight="1">
      <c r="A189" s="166"/>
      <c r="B189" s="166"/>
      <c r="C189" s="166"/>
      <c r="D189" s="166"/>
      <c r="E189" s="166"/>
      <c r="F189" s="272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ht="15.75" customHeight="1">
      <c r="A190" s="166"/>
      <c r="B190" s="166"/>
      <c r="C190" s="166"/>
      <c r="D190" s="166"/>
      <c r="E190" s="166"/>
      <c r="F190" s="272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ht="15.75" customHeight="1">
      <c r="A191" s="166"/>
      <c r="B191" s="166"/>
      <c r="C191" s="166"/>
      <c r="D191" s="166"/>
      <c r="E191" s="166"/>
      <c r="F191" s="272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 ht="15.75" customHeight="1">
      <c r="A192" s="166"/>
      <c r="B192" s="166"/>
      <c r="C192" s="166"/>
      <c r="D192" s="166"/>
      <c r="E192" s="166"/>
      <c r="F192" s="272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 ht="15.75" customHeight="1">
      <c r="A193" s="166"/>
      <c r="B193" s="166"/>
      <c r="C193" s="166"/>
      <c r="D193" s="166"/>
      <c r="E193" s="166"/>
      <c r="F193" s="272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 ht="15.75" customHeight="1">
      <c r="A194" s="166"/>
      <c r="B194" s="166"/>
      <c r="C194" s="166"/>
      <c r="D194" s="166"/>
      <c r="E194" s="166"/>
      <c r="F194" s="272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 ht="15.75" customHeight="1">
      <c r="A195" s="166"/>
      <c r="B195" s="166"/>
      <c r="C195" s="166"/>
      <c r="D195" s="166"/>
      <c r="E195" s="166"/>
      <c r="F195" s="272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 ht="15.75" customHeight="1">
      <c r="A196" s="166"/>
      <c r="B196" s="166"/>
      <c r="C196" s="166"/>
      <c r="D196" s="166"/>
      <c r="E196" s="166"/>
      <c r="F196" s="272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 ht="15.75" customHeight="1">
      <c r="A197" s="166"/>
      <c r="B197" s="166"/>
      <c r="C197" s="166"/>
      <c r="D197" s="166"/>
      <c r="E197" s="166"/>
      <c r="F197" s="272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 ht="15.75" customHeight="1">
      <c r="A198" s="166"/>
      <c r="B198" s="166"/>
      <c r="C198" s="166"/>
      <c r="D198" s="166"/>
      <c r="E198" s="166"/>
      <c r="F198" s="272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 ht="15.75" customHeight="1">
      <c r="A199" s="166"/>
      <c r="B199" s="166"/>
      <c r="C199" s="166"/>
      <c r="D199" s="166"/>
      <c r="E199" s="166"/>
      <c r="F199" s="272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 ht="15.75" customHeight="1">
      <c r="A200" s="166"/>
      <c r="B200" s="166"/>
      <c r="C200" s="166"/>
      <c r="D200" s="166"/>
      <c r="E200" s="166"/>
      <c r="F200" s="272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 ht="15.75" customHeight="1">
      <c r="A201" s="166"/>
      <c r="B201" s="166"/>
      <c r="C201" s="166"/>
      <c r="D201" s="166"/>
      <c r="E201" s="166"/>
      <c r="F201" s="272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 ht="15.75" customHeight="1">
      <c r="A202" s="166"/>
      <c r="B202" s="166"/>
      <c r="C202" s="166"/>
      <c r="D202" s="166"/>
      <c r="E202" s="166"/>
      <c r="F202" s="272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 ht="15.75" customHeight="1">
      <c r="A203" s="166"/>
      <c r="B203" s="166"/>
      <c r="C203" s="166"/>
      <c r="D203" s="166"/>
      <c r="E203" s="166"/>
      <c r="F203" s="272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 ht="15.75" customHeight="1">
      <c r="A204" s="166"/>
      <c r="B204" s="166"/>
      <c r="C204" s="166"/>
      <c r="D204" s="166"/>
      <c r="E204" s="166"/>
      <c r="F204" s="272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 ht="15.75" customHeight="1">
      <c r="A205" s="166"/>
      <c r="B205" s="166"/>
      <c r="C205" s="166"/>
      <c r="D205" s="166"/>
      <c r="E205" s="166"/>
      <c r="F205" s="272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 ht="15.75" customHeight="1">
      <c r="A206" s="166"/>
      <c r="B206" s="166"/>
      <c r="C206" s="166"/>
      <c r="D206" s="166"/>
      <c r="E206" s="166"/>
      <c r="F206" s="272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 ht="15.75" customHeight="1">
      <c r="A207" s="166"/>
      <c r="B207" s="166"/>
      <c r="C207" s="166"/>
      <c r="D207" s="166"/>
      <c r="E207" s="166"/>
      <c r="F207" s="272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 ht="15.75" customHeight="1">
      <c r="A208" s="166"/>
      <c r="B208" s="166"/>
      <c r="C208" s="166"/>
      <c r="D208" s="166"/>
      <c r="E208" s="166"/>
      <c r="F208" s="272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 ht="15.75" customHeight="1">
      <c r="A209" s="166"/>
      <c r="B209" s="166"/>
      <c r="C209" s="166"/>
      <c r="D209" s="166"/>
      <c r="E209" s="166"/>
      <c r="F209" s="272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 ht="15.75" customHeight="1">
      <c r="A210" s="166"/>
      <c r="B210" s="166"/>
      <c r="C210" s="166"/>
      <c r="D210" s="166"/>
      <c r="E210" s="166"/>
      <c r="F210" s="272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 ht="15.75" customHeight="1">
      <c r="A211" s="166"/>
      <c r="B211" s="166"/>
      <c r="C211" s="166"/>
      <c r="D211" s="166"/>
      <c r="E211" s="166"/>
      <c r="F211" s="272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 ht="15.75" customHeight="1">
      <c r="A212" s="166"/>
      <c r="B212" s="166"/>
      <c r="C212" s="166"/>
      <c r="D212" s="166"/>
      <c r="E212" s="166"/>
      <c r="F212" s="272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 ht="15.75" customHeight="1">
      <c r="A213" s="166"/>
      <c r="B213" s="166"/>
      <c r="C213" s="166"/>
      <c r="D213" s="166"/>
      <c r="E213" s="166"/>
      <c r="F213" s="272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 ht="15.75" customHeight="1">
      <c r="A214" s="166"/>
      <c r="B214" s="166"/>
      <c r="C214" s="166"/>
      <c r="D214" s="166"/>
      <c r="E214" s="166"/>
      <c r="F214" s="272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 ht="15.75" customHeight="1">
      <c r="A215" s="166"/>
      <c r="B215" s="166"/>
      <c r="C215" s="166"/>
      <c r="D215" s="166"/>
      <c r="E215" s="166"/>
      <c r="F215" s="272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 ht="15.75" customHeight="1">
      <c r="A216" s="166"/>
      <c r="B216" s="166"/>
      <c r="C216" s="166"/>
      <c r="D216" s="166"/>
      <c r="E216" s="166"/>
      <c r="F216" s="272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 ht="15.75" customHeight="1">
      <c r="A217" s="166"/>
      <c r="B217" s="166"/>
      <c r="C217" s="166"/>
      <c r="D217" s="166"/>
      <c r="E217" s="166"/>
      <c r="F217" s="272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 ht="15.75" customHeight="1">
      <c r="A218" s="166"/>
      <c r="B218" s="166"/>
      <c r="C218" s="166"/>
      <c r="D218" s="166"/>
      <c r="E218" s="166"/>
      <c r="F218" s="272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 ht="15.75" customHeight="1">
      <c r="A219" s="166"/>
      <c r="B219" s="166"/>
      <c r="C219" s="166"/>
      <c r="D219" s="166"/>
      <c r="E219" s="166"/>
      <c r="F219" s="272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 ht="15.75" customHeight="1">
      <c r="A220" s="166"/>
      <c r="B220" s="166"/>
      <c r="C220" s="166"/>
      <c r="D220" s="166"/>
      <c r="E220" s="166"/>
      <c r="F220" s="272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">
    <mergeCell ref="A1:H1"/>
  </mergeCells>
  <printOptions/>
  <pageMargins bottom="1.0" footer="0.0" header="0.0" left="0.75" right="0.75" top="1.0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3" width="12.63"/>
    <col customWidth="1" min="4" max="4" width="12.5"/>
    <col customWidth="1" min="5" max="5" width="12.63"/>
    <col customWidth="1" min="6" max="6" width="10.88"/>
    <col customWidth="1" min="7" max="7" width="12.75"/>
    <col customWidth="1" min="8" max="8" width="10.0"/>
    <col customWidth="1" min="9" max="9" width="9.38"/>
    <col customWidth="1" min="10" max="10" width="12.0"/>
  </cols>
  <sheetData>
    <row r="1" ht="15.75" customHeight="1">
      <c r="A1" s="872" t="s">
        <v>196</v>
      </c>
    </row>
    <row r="2" ht="15.75" customHeight="1">
      <c r="A2" s="72"/>
      <c r="B2" s="72"/>
      <c r="C2" s="72"/>
      <c r="D2" s="72"/>
      <c r="E2" s="72"/>
      <c r="F2" s="72"/>
      <c r="G2" s="72"/>
      <c r="H2" s="72"/>
      <c r="I2" s="72"/>
      <c r="J2" s="72"/>
    </row>
    <row r="3" ht="33.75" customHeight="1">
      <c r="A3" s="873"/>
      <c r="B3" s="874" t="s">
        <v>34</v>
      </c>
      <c r="C3" s="171"/>
      <c r="D3" s="172"/>
      <c r="E3" s="874" t="s">
        <v>91</v>
      </c>
      <c r="F3" s="171"/>
      <c r="G3" s="172"/>
      <c r="H3" s="874" t="s">
        <v>197</v>
      </c>
      <c r="I3" s="171"/>
      <c r="J3" s="172"/>
    </row>
    <row r="4" ht="33.75" customHeight="1">
      <c r="A4" s="875" t="s">
        <v>198</v>
      </c>
      <c r="B4" s="876" t="s">
        <v>199</v>
      </c>
      <c r="C4" s="876" t="s">
        <v>200</v>
      </c>
      <c r="D4" s="876" t="s">
        <v>201</v>
      </c>
      <c r="E4" s="876" t="s">
        <v>199</v>
      </c>
      <c r="F4" s="876" t="s">
        <v>200</v>
      </c>
      <c r="G4" s="876" t="s">
        <v>201</v>
      </c>
      <c r="H4" s="876" t="s">
        <v>199</v>
      </c>
      <c r="I4" s="876" t="s">
        <v>200</v>
      </c>
      <c r="J4" s="876" t="s">
        <v>201</v>
      </c>
    </row>
    <row r="5" ht="15.75" customHeight="1">
      <c r="A5" s="877" t="s">
        <v>45</v>
      </c>
      <c r="B5" s="878" t="s">
        <v>202</v>
      </c>
      <c r="C5" s="299">
        <v>1.029</v>
      </c>
      <c r="D5" s="879">
        <v>0.0246</v>
      </c>
      <c r="E5" s="878" t="s">
        <v>203</v>
      </c>
      <c r="F5" s="299">
        <v>1.225</v>
      </c>
      <c r="G5" s="879">
        <v>0.0042</v>
      </c>
      <c r="H5" s="878" t="s">
        <v>204</v>
      </c>
      <c r="I5" s="299">
        <v>0.91</v>
      </c>
      <c r="J5" s="879">
        <v>0.0117</v>
      </c>
    </row>
    <row r="6" ht="15.75" customHeight="1">
      <c r="A6" s="880" t="s">
        <v>205</v>
      </c>
      <c r="B6" s="881" t="s">
        <v>206</v>
      </c>
      <c r="C6" s="882">
        <v>0.749</v>
      </c>
      <c r="D6" s="883">
        <v>0.0335</v>
      </c>
      <c r="E6" s="881" t="s">
        <v>137</v>
      </c>
      <c r="F6" s="882">
        <v>0.816</v>
      </c>
      <c r="G6" s="883">
        <v>0.0016</v>
      </c>
      <c r="H6" s="884" t="s">
        <v>134</v>
      </c>
      <c r="I6" s="885" t="s">
        <v>134</v>
      </c>
      <c r="J6" s="885" t="s">
        <v>134</v>
      </c>
    </row>
    <row r="7" ht="15.75" customHeight="1">
      <c r="A7" s="877" t="s">
        <v>207</v>
      </c>
      <c r="B7" s="878" t="s">
        <v>208</v>
      </c>
      <c r="C7" s="299">
        <v>0.881</v>
      </c>
      <c r="D7" s="879">
        <v>0.5169</v>
      </c>
      <c r="E7" s="878" t="s">
        <v>209</v>
      </c>
      <c r="F7" s="299">
        <v>0.906</v>
      </c>
      <c r="G7" s="879">
        <v>0.4054</v>
      </c>
      <c r="H7" s="878" t="s">
        <v>210</v>
      </c>
      <c r="I7" s="299">
        <v>0.879</v>
      </c>
      <c r="J7" s="879">
        <v>0.2188</v>
      </c>
    </row>
    <row r="8" ht="15.75" customHeight="1">
      <c r="A8" s="880" t="s">
        <v>24</v>
      </c>
      <c r="B8" s="881" t="s">
        <v>211</v>
      </c>
      <c r="C8" s="886">
        <v>0.98</v>
      </c>
      <c r="D8" s="883">
        <v>0.3656</v>
      </c>
      <c r="E8" s="881" t="s">
        <v>212</v>
      </c>
      <c r="F8" s="886">
        <v>0.999</v>
      </c>
      <c r="G8" s="883">
        <v>0.315</v>
      </c>
      <c r="H8" s="881" t="s">
        <v>150</v>
      </c>
      <c r="I8" s="886">
        <v>1.032</v>
      </c>
      <c r="J8" s="883">
        <v>0.5761</v>
      </c>
    </row>
    <row r="9" ht="15.75" customHeight="1">
      <c r="A9" s="877" t="s">
        <v>213</v>
      </c>
      <c r="B9" s="878" t="s">
        <v>214</v>
      </c>
      <c r="C9" s="299">
        <v>0.955</v>
      </c>
      <c r="D9" s="879">
        <v>0.3441</v>
      </c>
      <c r="E9" s="887" t="s">
        <v>134</v>
      </c>
      <c r="F9" s="303" t="s">
        <v>134</v>
      </c>
      <c r="G9" s="303" t="s">
        <v>134</v>
      </c>
      <c r="H9" s="887" t="s">
        <v>134</v>
      </c>
      <c r="I9" s="303" t="s">
        <v>134</v>
      </c>
      <c r="J9" s="303" t="s">
        <v>134</v>
      </c>
    </row>
    <row r="10" ht="15.75" customHeight="1">
      <c r="A10" s="880" t="s">
        <v>39</v>
      </c>
      <c r="B10" s="881" t="s">
        <v>176</v>
      </c>
      <c r="C10" s="886">
        <v>0.927</v>
      </c>
      <c r="D10" s="883">
        <v>0.3271</v>
      </c>
      <c r="E10" s="881" t="s">
        <v>215</v>
      </c>
      <c r="F10" s="882">
        <v>0.824</v>
      </c>
      <c r="G10" s="883">
        <v>0.4012</v>
      </c>
      <c r="H10" s="881" t="s">
        <v>179</v>
      </c>
      <c r="I10" s="886">
        <v>0.984</v>
      </c>
      <c r="J10" s="883">
        <v>0.6529</v>
      </c>
    </row>
    <row r="11" ht="15.75" customHeight="1">
      <c r="A11" s="877" t="s">
        <v>37</v>
      </c>
      <c r="B11" s="878" t="s">
        <v>158</v>
      </c>
      <c r="C11" s="299">
        <v>0.94</v>
      </c>
      <c r="D11" s="879">
        <v>0.4751</v>
      </c>
      <c r="E11" s="878" t="s">
        <v>216</v>
      </c>
      <c r="F11" s="888">
        <v>0.84</v>
      </c>
      <c r="G11" s="879">
        <v>0.1982</v>
      </c>
      <c r="H11" s="878" t="s">
        <v>160</v>
      </c>
      <c r="I11" s="299">
        <v>0.883</v>
      </c>
      <c r="J11" s="879">
        <v>0.5168</v>
      </c>
    </row>
    <row r="12" ht="15.75" customHeight="1">
      <c r="A12" s="880" t="s">
        <v>217</v>
      </c>
      <c r="B12" s="884" t="s">
        <v>134</v>
      </c>
      <c r="C12" s="885" t="s">
        <v>134</v>
      </c>
      <c r="D12" s="885" t="s">
        <v>134</v>
      </c>
      <c r="E12" s="881" t="s">
        <v>137</v>
      </c>
      <c r="F12" s="882">
        <v>0.743</v>
      </c>
      <c r="G12" s="883">
        <v>0.0</v>
      </c>
      <c r="H12" s="881" t="s">
        <v>218</v>
      </c>
      <c r="I12" s="886">
        <v>1.13</v>
      </c>
      <c r="J12" s="883">
        <v>0.107</v>
      </c>
    </row>
    <row r="13" ht="15.75" customHeight="1">
      <c r="A13" s="877" t="s">
        <v>40</v>
      </c>
      <c r="B13" s="878" t="s">
        <v>219</v>
      </c>
      <c r="C13" s="888">
        <v>0.775</v>
      </c>
      <c r="D13" s="879">
        <v>0.1778</v>
      </c>
      <c r="E13" s="878" t="s">
        <v>220</v>
      </c>
      <c r="F13" s="299">
        <v>0.916</v>
      </c>
      <c r="G13" s="879">
        <v>0.1215</v>
      </c>
      <c r="H13" s="878" t="s">
        <v>221</v>
      </c>
      <c r="I13" s="888">
        <v>0.784</v>
      </c>
      <c r="J13" s="879">
        <v>0.1611</v>
      </c>
    </row>
    <row r="14" ht="15.75" customHeight="1">
      <c r="A14" s="880" t="s">
        <v>222</v>
      </c>
      <c r="B14" s="881" t="s">
        <v>223</v>
      </c>
      <c r="C14" s="886">
        <v>0.861</v>
      </c>
      <c r="D14" s="883">
        <v>0.2523</v>
      </c>
      <c r="E14" s="881" t="s">
        <v>224</v>
      </c>
      <c r="F14" s="882">
        <v>0.84</v>
      </c>
      <c r="G14" s="883">
        <v>0.4703</v>
      </c>
      <c r="H14" s="884" t="s">
        <v>134</v>
      </c>
      <c r="I14" s="885" t="s">
        <v>134</v>
      </c>
      <c r="J14" s="885" t="s">
        <v>134</v>
      </c>
    </row>
    <row r="15" ht="15.75" customHeight="1">
      <c r="A15" s="877" t="s">
        <v>17</v>
      </c>
      <c r="B15" s="887" t="s">
        <v>134</v>
      </c>
      <c r="C15" s="303" t="s">
        <v>134</v>
      </c>
      <c r="D15" s="303" t="s">
        <v>134</v>
      </c>
      <c r="E15" s="887" t="s">
        <v>134</v>
      </c>
      <c r="F15" s="303" t="s">
        <v>134</v>
      </c>
      <c r="G15" s="303" t="s">
        <v>134</v>
      </c>
      <c r="H15" s="878" t="s">
        <v>184</v>
      </c>
      <c r="I15" s="889">
        <v>0.614</v>
      </c>
      <c r="J15" s="879">
        <v>0.0151</v>
      </c>
    </row>
    <row r="16" ht="15.75" customHeight="1">
      <c r="A16" s="880" t="s">
        <v>41</v>
      </c>
      <c r="B16" s="884" t="s">
        <v>134</v>
      </c>
      <c r="C16" s="885" t="s">
        <v>134</v>
      </c>
      <c r="D16" s="885" t="s">
        <v>134</v>
      </c>
      <c r="E16" s="884" t="s">
        <v>134</v>
      </c>
      <c r="F16" s="885" t="s">
        <v>134</v>
      </c>
      <c r="G16" s="885" t="s">
        <v>134</v>
      </c>
      <c r="H16" s="881" t="s">
        <v>225</v>
      </c>
      <c r="I16" s="886">
        <v>1.139</v>
      </c>
      <c r="J16" s="883">
        <v>0.0451</v>
      </c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</sheetData>
  <mergeCells count="4">
    <mergeCell ref="A1:J1"/>
    <mergeCell ref="B3:D3"/>
    <mergeCell ref="E3:G3"/>
    <mergeCell ref="H3:J3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4.13"/>
    <col customWidth="1" min="2" max="2" width="12.88"/>
    <col customWidth="1" hidden="1" min="3" max="3" width="12.63"/>
    <col customWidth="1" min="4" max="4" width="11.25"/>
    <col customWidth="1" min="5" max="5" width="10.88"/>
    <col customWidth="1" min="6" max="6" width="9.63"/>
    <col customWidth="1" min="7" max="7" width="9.88"/>
    <col customWidth="1" min="8" max="8" width="9.75"/>
    <col customWidth="1" min="9" max="9" width="10.75"/>
    <col customWidth="1" hidden="1" min="10" max="10" width="9.38"/>
    <col customWidth="1" min="11" max="11" width="9.25"/>
    <col customWidth="1" min="12" max="12" width="8.38"/>
    <col customWidth="1" hidden="1" min="13" max="13" width="12.63"/>
    <col customWidth="1" hidden="1" min="17" max="17" width="12.63"/>
    <col customWidth="1" min="21" max="21" width="13.25"/>
  </cols>
  <sheetData>
    <row r="1" ht="24.75" customHeight="1">
      <c r="A1" s="165"/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</row>
    <row r="2" ht="24.75" customHeight="1">
      <c r="A2" s="890"/>
      <c r="B2" s="546" t="s">
        <v>207</v>
      </c>
      <c r="C2" s="171"/>
      <c r="D2" s="172"/>
      <c r="E2" s="890"/>
      <c r="F2" s="890"/>
      <c r="G2" s="890"/>
      <c r="H2" s="890"/>
      <c r="I2" s="547" t="s">
        <v>104</v>
      </c>
      <c r="J2" s="171"/>
      <c r="K2" s="172"/>
      <c r="L2" s="891" t="s">
        <v>106</v>
      </c>
      <c r="M2" s="382"/>
      <c r="N2" s="382"/>
      <c r="O2" s="388"/>
      <c r="P2" s="892" t="s">
        <v>108</v>
      </c>
      <c r="Q2" s="171"/>
      <c r="R2" s="172"/>
      <c r="S2" s="166"/>
      <c r="T2" s="166"/>
      <c r="U2" s="166"/>
      <c r="V2" s="166"/>
      <c r="W2" s="166"/>
      <c r="X2" s="166"/>
      <c r="Y2" s="166"/>
      <c r="Z2" s="166"/>
      <c r="AA2" s="166"/>
      <c r="AB2" s="166"/>
    </row>
    <row r="3" ht="52.5" customHeight="1">
      <c r="A3" s="181" t="s">
        <v>118</v>
      </c>
      <c r="B3" s="181" t="s">
        <v>119</v>
      </c>
      <c r="C3" s="181" t="s">
        <v>120</v>
      </c>
      <c r="D3" s="181" t="s">
        <v>121</v>
      </c>
      <c r="E3" s="181" t="s">
        <v>122</v>
      </c>
      <c r="F3" s="181" t="s">
        <v>123</v>
      </c>
      <c r="G3" s="182" t="s">
        <v>124</v>
      </c>
      <c r="H3" s="549" t="s">
        <v>125</v>
      </c>
      <c r="I3" s="291" t="s">
        <v>126</v>
      </c>
      <c r="J3" s="393" t="s">
        <v>147</v>
      </c>
      <c r="K3" s="893" t="s">
        <v>130</v>
      </c>
      <c r="L3" s="894" t="s">
        <v>126</v>
      </c>
      <c r="M3" s="291" t="s">
        <v>147</v>
      </c>
      <c r="N3" s="291" t="s">
        <v>127</v>
      </c>
      <c r="O3" s="399" t="s">
        <v>130</v>
      </c>
      <c r="P3" s="290" t="s">
        <v>126</v>
      </c>
      <c r="Q3" s="291" t="s">
        <v>147</v>
      </c>
      <c r="R3" s="291" t="s">
        <v>130</v>
      </c>
      <c r="S3" s="166"/>
      <c r="T3" s="166"/>
      <c r="U3" s="166"/>
      <c r="V3" s="166"/>
      <c r="W3" s="166"/>
      <c r="X3" s="166"/>
      <c r="Y3" s="166"/>
      <c r="Z3" s="166"/>
      <c r="AA3" s="166"/>
      <c r="AB3" s="166"/>
    </row>
    <row r="4" ht="15.75" customHeight="1">
      <c r="A4" s="895" t="s">
        <v>34</v>
      </c>
      <c r="B4" s="896">
        <f>CONTROLE!I9</f>
        <v>1</v>
      </c>
      <c r="C4" s="895">
        <v>0.0</v>
      </c>
      <c r="D4" s="897">
        <f>CONTROLE!E9</f>
        <v>10</v>
      </c>
      <c r="E4" s="898">
        <f>CONTROLE!D9</f>
        <v>117</v>
      </c>
      <c r="F4" s="899">
        <f t="shared" ref="F4:F7" si="1">D4+E4</f>
        <v>127</v>
      </c>
      <c r="G4" s="899"/>
      <c r="H4" s="899">
        <f t="shared" ref="H4:H7" si="2">SUM(F4:G4)</f>
        <v>127</v>
      </c>
      <c r="I4" s="303" t="s">
        <v>134</v>
      </c>
      <c r="J4" s="303" t="s">
        <v>134</v>
      </c>
      <c r="K4" s="405" t="s">
        <v>134</v>
      </c>
      <c r="L4" s="900" t="s">
        <v>208</v>
      </c>
      <c r="M4" s="299">
        <v>0.881</v>
      </c>
      <c r="N4" s="879" t="str">
        <f>'REFERENCIA PML'!C10</f>
        <v>R$ 21,38</v>
      </c>
      <c r="O4" s="901">
        <v>0.5169</v>
      </c>
      <c r="P4" s="302" t="s">
        <v>134</v>
      </c>
      <c r="Q4" s="303" t="s">
        <v>134</v>
      </c>
      <c r="R4" s="303" t="s">
        <v>134</v>
      </c>
      <c r="S4" s="190"/>
      <c r="T4" s="190"/>
      <c r="U4" s="190"/>
      <c r="V4" s="190"/>
      <c r="W4" s="190"/>
      <c r="X4" s="190"/>
      <c r="Y4" s="190"/>
      <c r="Z4" s="190"/>
      <c r="AA4" s="190"/>
      <c r="AB4" s="190"/>
    </row>
    <row r="5" ht="15.75" customHeight="1">
      <c r="A5" s="505" t="s">
        <v>91</v>
      </c>
      <c r="B5" s="506">
        <f>CONTROLE!I22</f>
        <v>3</v>
      </c>
      <c r="C5" s="505"/>
      <c r="D5" s="521">
        <f>CONTROLE!E22</f>
        <v>30</v>
      </c>
      <c r="E5" s="521">
        <f>META!F17</f>
        <v>96</v>
      </c>
      <c r="F5" s="521">
        <f t="shared" si="1"/>
        <v>126</v>
      </c>
      <c r="G5" s="507">
        <v>300.0</v>
      </c>
      <c r="H5" s="521">
        <f t="shared" si="2"/>
        <v>426</v>
      </c>
      <c r="I5" s="902" t="s">
        <v>134</v>
      </c>
      <c r="J5" s="902" t="s">
        <v>134</v>
      </c>
      <c r="K5" s="902" t="s">
        <v>134</v>
      </c>
      <c r="L5" s="903" t="s">
        <v>209</v>
      </c>
      <c r="M5" s="904">
        <v>0.906</v>
      </c>
      <c r="N5" s="905">
        <f>'REFERENCIA PML'!C11</f>
        <v>22.14</v>
      </c>
      <c r="O5" s="906">
        <v>0.4054</v>
      </c>
      <c r="P5" s="907" t="s">
        <v>134</v>
      </c>
      <c r="Q5" s="908" t="s">
        <v>134</v>
      </c>
      <c r="R5" s="908" t="s">
        <v>134</v>
      </c>
      <c r="S5" s="190"/>
      <c r="T5" s="190"/>
      <c r="U5" s="190"/>
      <c r="V5" s="190"/>
      <c r="W5" s="190"/>
      <c r="X5" s="190"/>
      <c r="Y5" s="190"/>
      <c r="Z5" s="190"/>
      <c r="AA5" s="190"/>
      <c r="AB5" s="190"/>
    </row>
    <row r="6" ht="15.75" customHeight="1">
      <c r="A6" s="255" t="s">
        <v>98</v>
      </c>
      <c r="B6" s="909">
        <f>CONTROLE!I35</f>
        <v>1</v>
      </c>
      <c r="C6" s="255"/>
      <c r="D6" s="910">
        <f>CONTROLE!E35</f>
        <v>10</v>
      </c>
      <c r="E6" s="910">
        <f>CONTROLE!D35</f>
        <v>124</v>
      </c>
      <c r="F6" s="910">
        <f t="shared" si="1"/>
        <v>134</v>
      </c>
      <c r="G6" s="910">
        <v>0.0</v>
      </c>
      <c r="H6" s="910">
        <f t="shared" si="2"/>
        <v>134</v>
      </c>
      <c r="I6" s="911" t="s">
        <v>134</v>
      </c>
      <c r="J6" s="911" t="s">
        <v>134</v>
      </c>
      <c r="K6" s="911" t="s">
        <v>134</v>
      </c>
      <c r="L6" s="912" t="s">
        <v>210</v>
      </c>
      <c r="M6" s="913">
        <v>0.879</v>
      </c>
      <c r="N6" s="879">
        <f>'REFERENCIA PML'!C12</f>
        <v>22.52</v>
      </c>
      <c r="O6" s="914">
        <v>0.2188</v>
      </c>
      <c r="P6" s="915" t="s">
        <v>134</v>
      </c>
      <c r="Q6" s="916" t="s">
        <v>134</v>
      </c>
      <c r="R6" s="916" t="s">
        <v>134</v>
      </c>
      <c r="S6" s="190"/>
      <c r="T6" s="190"/>
      <c r="U6" s="190"/>
      <c r="V6" s="190"/>
      <c r="W6" s="190"/>
      <c r="X6" s="190"/>
      <c r="Y6" s="190"/>
      <c r="Z6" s="190"/>
      <c r="AA6" s="190"/>
      <c r="AB6" s="190"/>
    </row>
    <row r="7" ht="15.75" customHeight="1">
      <c r="A7" s="524" t="s">
        <v>103</v>
      </c>
      <c r="B7" s="917">
        <f>CONTROLE!I50</f>
        <v>1</v>
      </c>
      <c r="C7" s="524"/>
      <c r="D7" s="918">
        <f>CONTROLE!E50</f>
        <v>10</v>
      </c>
      <c r="E7" s="524">
        <v>0.0</v>
      </c>
      <c r="F7" s="918">
        <f t="shared" si="1"/>
        <v>10</v>
      </c>
      <c r="G7" s="918">
        <v>0.0</v>
      </c>
      <c r="H7" s="918">
        <f t="shared" si="2"/>
        <v>10</v>
      </c>
      <c r="I7" s="902" t="s">
        <v>134</v>
      </c>
      <c r="J7" s="902" t="s">
        <v>134</v>
      </c>
      <c r="K7" s="902" t="s">
        <v>134</v>
      </c>
      <c r="L7" s="919">
        <v>18.8</v>
      </c>
      <c r="M7" s="920"/>
      <c r="N7" s="921">
        <f>'REFERENCIA PML'!C14</f>
        <v>25.84</v>
      </c>
      <c r="O7" s="922">
        <v>0.418</v>
      </c>
      <c r="P7" s="902" t="s">
        <v>134</v>
      </c>
      <c r="Q7" s="902" t="s">
        <v>134</v>
      </c>
      <c r="R7" s="902" t="s">
        <v>134</v>
      </c>
      <c r="S7" s="190"/>
      <c r="T7" s="190"/>
      <c r="U7" s="190"/>
      <c r="V7" s="190"/>
      <c r="W7" s="190"/>
      <c r="X7" s="190"/>
      <c r="Y7" s="190"/>
      <c r="Z7" s="190"/>
      <c r="AA7" s="190"/>
      <c r="AB7" s="190"/>
    </row>
    <row r="8" ht="15.75" customHeight="1">
      <c r="A8" s="255" t="s">
        <v>110</v>
      </c>
      <c r="B8" s="909"/>
      <c r="C8" s="255"/>
      <c r="D8" s="910"/>
      <c r="E8" s="255"/>
      <c r="F8" s="255"/>
      <c r="G8" s="910"/>
      <c r="H8" s="255"/>
      <c r="I8" s="255"/>
      <c r="J8" s="255"/>
      <c r="K8" s="255"/>
      <c r="L8" s="258"/>
      <c r="M8" s="255"/>
      <c r="N8" s="255"/>
      <c r="O8" s="261"/>
      <c r="P8" s="255"/>
      <c r="Q8" s="255"/>
      <c r="R8" s="255"/>
      <c r="S8" s="190"/>
      <c r="T8" s="190"/>
      <c r="U8" s="190"/>
      <c r="V8" s="190"/>
      <c r="W8" s="190"/>
      <c r="X8" s="190"/>
      <c r="Y8" s="190"/>
      <c r="Z8" s="190"/>
      <c r="AA8" s="190"/>
      <c r="AB8" s="190"/>
    </row>
    <row r="9" ht="15.75" customHeight="1">
      <c r="A9" s="505" t="s">
        <v>138</v>
      </c>
      <c r="B9" s="506"/>
      <c r="C9" s="505"/>
      <c r="D9" s="521"/>
      <c r="E9" s="505"/>
      <c r="F9" s="505"/>
      <c r="G9" s="521"/>
      <c r="H9" s="505"/>
      <c r="I9" s="505"/>
      <c r="J9" s="505"/>
      <c r="K9" s="505"/>
      <c r="L9" s="923"/>
      <c r="M9" s="505"/>
      <c r="N9" s="505"/>
      <c r="O9" s="924"/>
      <c r="P9" s="505"/>
      <c r="Q9" s="505"/>
      <c r="R9" s="505"/>
      <c r="S9" s="190"/>
      <c r="T9" s="190"/>
      <c r="U9" s="190"/>
      <c r="V9" s="190"/>
      <c r="W9" s="190"/>
      <c r="X9" s="190"/>
      <c r="Y9" s="190"/>
      <c r="Z9" s="190"/>
      <c r="AA9" s="190"/>
      <c r="AB9" s="190"/>
    </row>
    <row r="10" ht="15.75" customHeight="1">
      <c r="A10" s="505" t="s">
        <v>139</v>
      </c>
      <c r="B10" s="506"/>
      <c r="C10" s="505"/>
      <c r="D10" s="521"/>
      <c r="E10" s="505"/>
      <c r="F10" s="505"/>
      <c r="G10" s="521"/>
      <c r="H10" s="505"/>
      <c r="I10" s="505"/>
      <c r="J10" s="505"/>
      <c r="K10" s="505"/>
      <c r="L10" s="923"/>
      <c r="M10" s="505"/>
      <c r="N10" s="505"/>
      <c r="O10" s="924"/>
      <c r="P10" s="505"/>
      <c r="Q10" s="505"/>
      <c r="R10" s="505"/>
      <c r="S10" s="190"/>
      <c r="T10" s="190"/>
      <c r="U10" s="190"/>
      <c r="V10" s="190"/>
      <c r="W10" s="190"/>
      <c r="X10" s="190"/>
      <c r="Y10" s="190"/>
      <c r="Z10" s="190"/>
      <c r="AA10" s="190"/>
      <c r="AB10" s="190"/>
    </row>
    <row r="11" ht="15.75" customHeight="1">
      <c r="A11" s="505" t="s">
        <v>141</v>
      </c>
      <c r="B11" s="505"/>
      <c r="C11" s="505"/>
      <c r="D11" s="505"/>
      <c r="E11" s="505"/>
      <c r="F11" s="505"/>
      <c r="G11" s="521"/>
      <c r="H11" s="505"/>
      <c r="I11" s="505"/>
      <c r="J11" s="505"/>
      <c r="K11" s="505"/>
      <c r="L11" s="923"/>
      <c r="M11" s="505"/>
      <c r="N11" s="505"/>
      <c r="O11" s="924"/>
      <c r="P11" s="505"/>
      <c r="Q11" s="505"/>
      <c r="R11" s="505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</row>
    <row r="12" ht="15.75" customHeight="1">
      <c r="A12" s="505" t="s">
        <v>142</v>
      </c>
      <c r="B12" s="505"/>
      <c r="C12" s="505"/>
      <c r="D12" s="505"/>
      <c r="E12" s="505"/>
      <c r="F12" s="505"/>
      <c r="G12" s="521"/>
      <c r="H12" s="505"/>
      <c r="I12" s="505"/>
      <c r="J12" s="505"/>
      <c r="K12" s="505"/>
      <c r="L12" s="923"/>
      <c r="M12" s="505"/>
      <c r="N12" s="505"/>
      <c r="O12" s="924"/>
      <c r="P12" s="505"/>
      <c r="Q12" s="505"/>
      <c r="R12" s="505"/>
      <c r="S12" s="190"/>
      <c r="T12" s="190"/>
      <c r="U12" s="190"/>
      <c r="V12" s="190"/>
      <c r="W12" s="190"/>
      <c r="X12" s="190"/>
      <c r="Y12" s="190"/>
      <c r="Z12" s="190"/>
      <c r="AA12" s="190"/>
      <c r="AB12" s="190"/>
    </row>
    <row r="13" ht="15.75" customHeight="1">
      <c r="A13" s="505" t="s">
        <v>143</v>
      </c>
      <c r="B13" s="505"/>
      <c r="C13" s="505"/>
      <c r="D13" s="505"/>
      <c r="E13" s="505"/>
      <c r="F13" s="505"/>
      <c r="G13" s="521"/>
      <c r="H13" s="505"/>
      <c r="I13" s="505"/>
      <c r="J13" s="505"/>
      <c r="K13" s="505"/>
      <c r="L13" s="923"/>
      <c r="M13" s="505"/>
      <c r="N13" s="505"/>
      <c r="O13" s="924"/>
      <c r="P13" s="505"/>
      <c r="Q13" s="505"/>
      <c r="R13" s="505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</row>
    <row r="14" ht="15.75" customHeight="1">
      <c r="A14" s="505" t="s">
        <v>144</v>
      </c>
      <c r="B14" s="505"/>
      <c r="C14" s="505"/>
      <c r="D14" s="505"/>
      <c r="E14" s="505"/>
      <c r="F14" s="505"/>
      <c r="G14" s="521"/>
      <c r="H14" s="505"/>
      <c r="I14" s="505"/>
      <c r="J14" s="505"/>
      <c r="K14" s="505"/>
      <c r="L14" s="923"/>
      <c r="M14" s="505"/>
      <c r="N14" s="505"/>
      <c r="O14" s="924"/>
      <c r="P14" s="505"/>
      <c r="Q14" s="505"/>
      <c r="R14" s="505"/>
      <c r="S14" s="190"/>
      <c r="T14" s="190"/>
      <c r="U14" s="190"/>
      <c r="V14" s="190"/>
      <c r="W14" s="190"/>
      <c r="X14" s="190"/>
      <c r="Y14" s="190"/>
      <c r="Z14" s="190"/>
      <c r="AA14" s="190"/>
      <c r="AB14" s="190"/>
    </row>
    <row r="15" ht="15.75" customHeight="1">
      <c r="A15" s="505" t="s">
        <v>145</v>
      </c>
      <c r="B15" s="505"/>
      <c r="C15" s="505"/>
      <c r="D15" s="505"/>
      <c r="E15" s="505"/>
      <c r="F15" s="505"/>
      <c r="G15" s="521"/>
      <c r="H15" s="505"/>
      <c r="I15" s="505"/>
      <c r="J15" s="505"/>
      <c r="K15" s="505"/>
      <c r="L15" s="925"/>
      <c r="M15" s="926"/>
      <c r="N15" s="926"/>
      <c r="O15" s="927"/>
      <c r="P15" s="505"/>
      <c r="Q15" s="505"/>
      <c r="R15" s="505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</row>
    <row r="16" ht="15.75" customHeight="1">
      <c r="A16" s="166"/>
      <c r="B16" s="166"/>
      <c r="C16" s="166"/>
      <c r="D16" s="166"/>
      <c r="E16" s="166"/>
      <c r="F16" s="166"/>
      <c r="G16" s="272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</row>
    <row r="17" ht="15.75" customHeight="1">
      <c r="A17" s="166"/>
      <c r="B17" s="166"/>
      <c r="C17" s="166"/>
      <c r="D17" s="166"/>
      <c r="E17" s="166"/>
      <c r="F17" s="166"/>
      <c r="G17" s="272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</row>
    <row r="18" ht="15.75" customHeight="1">
      <c r="A18" s="166"/>
      <c r="B18" s="166"/>
      <c r="C18" s="166"/>
      <c r="D18" s="166"/>
      <c r="E18" s="166"/>
      <c r="F18" s="166"/>
      <c r="G18" s="272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</row>
    <row r="19" ht="15.75" customHeight="1">
      <c r="A19" s="166"/>
      <c r="B19" s="166"/>
      <c r="C19" s="166"/>
      <c r="D19" s="166"/>
      <c r="E19" s="166"/>
      <c r="F19" s="166"/>
      <c r="G19" s="272"/>
      <c r="H19" s="166"/>
      <c r="I19" s="7"/>
      <c r="J19" s="166"/>
      <c r="K19" s="166"/>
      <c r="L19" s="166"/>
      <c r="M19" s="166"/>
      <c r="N19" s="166"/>
      <c r="O19" s="166"/>
      <c r="P19" s="166"/>
      <c r="Q19" s="7"/>
      <c r="U19" s="7"/>
      <c r="Y19" s="166"/>
      <c r="Z19" s="166"/>
      <c r="AA19" s="166"/>
      <c r="AB19" s="166"/>
    </row>
    <row r="20" ht="15.75" customHeight="1">
      <c r="A20" s="166"/>
      <c r="B20" s="166"/>
      <c r="C20" s="166"/>
      <c r="D20" s="166"/>
      <c r="E20" s="166"/>
      <c r="F20" s="272"/>
      <c r="G20" s="166"/>
      <c r="H20" s="7"/>
      <c r="I20" s="7"/>
      <c r="J20" s="166"/>
      <c r="K20" s="166"/>
      <c r="L20" s="166"/>
      <c r="M20" s="166"/>
      <c r="N20" s="166"/>
      <c r="O20" s="166"/>
      <c r="P20" s="166"/>
      <c r="Q20" s="7"/>
      <c r="U20" s="7"/>
      <c r="Z20" s="166"/>
      <c r="AA20" s="166"/>
      <c r="AB20" s="166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166"/>
      <c r="K21" s="166"/>
      <c r="L21" s="166"/>
      <c r="M21" s="166"/>
      <c r="N21" s="166"/>
      <c r="O21" s="166"/>
      <c r="P21" s="166"/>
      <c r="Q21" s="7"/>
      <c r="U21" s="7"/>
      <c r="Z21" s="166"/>
      <c r="AA21" s="166"/>
      <c r="AB21" s="166"/>
    </row>
    <row r="22" ht="15.75" customHeight="1">
      <c r="A22" s="166"/>
      <c r="B22" s="166"/>
      <c r="C22" s="166"/>
      <c r="D22" s="166"/>
      <c r="E22" s="273"/>
      <c r="F22" s="272"/>
      <c r="G22" s="273"/>
      <c r="H22" s="273"/>
      <c r="I22" s="166"/>
      <c r="J22" s="166"/>
      <c r="K22" s="166"/>
      <c r="L22" s="166"/>
      <c r="M22" s="166"/>
      <c r="N22" s="166"/>
      <c r="O22" s="166"/>
      <c r="P22" s="166"/>
      <c r="Q22" s="7"/>
      <c r="U22" s="7"/>
      <c r="Y22" s="166"/>
      <c r="Z22" s="166"/>
      <c r="AA22" s="166"/>
      <c r="AB22" s="166"/>
    </row>
    <row r="23" ht="15.75" customHeight="1">
      <c r="A23" s="166"/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7"/>
      <c r="U23" s="7"/>
      <c r="Y23" s="166"/>
      <c r="Z23" s="166"/>
      <c r="AA23" s="166"/>
      <c r="AB23" s="166"/>
    </row>
    <row r="24" ht="15.75" customHeight="1">
      <c r="A24" s="166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7"/>
      <c r="U24" s="7"/>
      <c r="Y24" s="166"/>
      <c r="Z24" s="166"/>
      <c r="AA24" s="166"/>
      <c r="AB24" s="166"/>
    </row>
    <row r="25" ht="15.75" customHeight="1">
      <c r="A25" s="166"/>
      <c r="B25" s="166"/>
      <c r="C25" s="166"/>
      <c r="D25" s="166"/>
      <c r="E25" s="273"/>
      <c r="F25" s="166"/>
      <c r="G25" s="273"/>
      <c r="H25" s="273"/>
      <c r="I25" s="166"/>
      <c r="J25" s="166"/>
      <c r="K25" s="166"/>
      <c r="L25" s="166"/>
      <c r="M25" s="166"/>
      <c r="N25" s="166"/>
      <c r="O25" s="166"/>
      <c r="P25" s="166"/>
      <c r="Q25" s="7"/>
      <c r="U25" s="7"/>
      <c r="Y25" s="166"/>
      <c r="Z25" s="166"/>
      <c r="AA25" s="166"/>
      <c r="AB25" s="166"/>
    </row>
    <row r="26" ht="15.75" customHeight="1">
      <c r="A26" s="166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7"/>
      <c r="U26" s="7"/>
      <c r="Y26" s="166"/>
      <c r="Z26" s="166"/>
      <c r="AA26" s="166"/>
      <c r="AB26" s="166"/>
    </row>
    <row r="27" ht="15.75" customHeight="1">
      <c r="A27" s="166"/>
      <c r="B27" s="166"/>
      <c r="C27" s="166"/>
      <c r="D27" s="166"/>
      <c r="E27" s="166"/>
      <c r="F27" s="272"/>
      <c r="G27" s="166"/>
      <c r="H27" s="7"/>
      <c r="I27" s="166"/>
      <c r="J27" s="166"/>
      <c r="K27" s="166"/>
      <c r="L27" s="166"/>
      <c r="M27" s="166"/>
      <c r="N27" s="166"/>
      <c r="O27" s="166"/>
      <c r="P27" s="166"/>
      <c r="Q27" s="7"/>
      <c r="U27" s="7"/>
      <c r="Y27" s="166"/>
      <c r="Z27" s="166"/>
      <c r="AA27" s="166"/>
      <c r="AB27" s="166"/>
    </row>
    <row r="28" ht="15.75" customHeight="1">
      <c r="A28" s="7"/>
      <c r="B28" s="7"/>
      <c r="C28" s="166"/>
      <c r="D28" s="166"/>
      <c r="E28" s="273"/>
      <c r="F28" s="272"/>
      <c r="G28" s="273"/>
      <c r="H28" s="273"/>
      <c r="I28" s="166"/>
      <c r="J28" s="166"/>
      <c r="K28" s="166"/>
      <c r="L28" s="166"/>
      <c r="M28" s="166"/>
      <c r="N28" s="166"/>
      <c r="O28" s="166"/>
      <c r="P28" s="166"/>
      <c r="Q28" s="7"/>
      <c r="U28" s="7"/>
      <c r="Y28" s="166"/>
      <c r="Z28" s="166"/>
      <c r="AA28" s="166"/>
      <c r="AB28" s="166"/>
    </row>
    <row r="29" ht="15.75" customHeight="1">
      <c r="A29" s="166"/>
      <c r="B29" s="166"/>
      <c r="C29" s="166"/>
      <c r="D29" s="166"/>
      <c r="E29" s="273"/>
      <c r="F29" s="166"/>
      <c r="G29" s="273"/>
      <c r="H29" s="273"/>
      <c r="I29" s="166"/>
      <c r="J29" s="166"/>
      <c r="K29" s="166"/>
      <c r="L29" s="166"/>
      <c r="M29" s="166"/>
      <c r="N29" s="166"/>
      <c r="O29" s="166"/>
      <c r="P29" s="166"/>
      <c r="Q29" s="7"/>
      <c r="U29" s="7"/>
      <c r="Y29" s="166"/>
      <c r="Z29" s="166"/>
      <c r="AA29" s="166"/>
      <c r="AB29" s="166"/>
    </row>
    <row r="30" ht="15.75" customHeight="1">
      <c r="A30" s="166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7"/>
      <c r="U30" s="7"/>
      <c r="Y30" s="166"/>
      <c r="Z30" s="166"/>
      <c r="AA30" s="166"/>
      <c r="AB30" s="166"/>
    </row>
    <row r="31" ht="15.75" customHeight="1">
      <c r="A31" s="166"/>
      <c r="B31" s="166"/>
      <c r="C31" s="166"/>
      <c r="D31" s="166"/>
      <c r="E31" s="273"/>
      <c r="F31" s="166"/>
      <c r="G31" s="273"/>
      <c r="H31" s="273"/>
      <c r="I31" s="166"/>
      <c r="J31" s="166"/>
      <c r="K31" s="166"/>
      <c r="L31" s="166"/>
      <c r="M31" s="166"/>
      <c r="N31" s="166"/>
      <c r="O31" s="166"/>
      <c r="P31" s="166"/>
      <c r="Q31" s="7"/>
      <c r="U31" s="7"/>
      <c r="Y31" s="166"/>
      <c r="Z31" s="166"/>
      <c r="AA31" s="166"/>
      <c r="AB31" s="166"/>
    </row>
    <row r="32" ht="15.75" customHeight="1">
      <c r="A32" s="166"/>
      <c r="B32" s="166"/>
      <c r="C32" s="166"/>
      <c r="D32" s="166"/>
      <c r="E32" s="273"/>
      <c r="F32" s="166"/>
      <c r="G32" s="273"/>
      <c r="H32" s="273"/>
      <c r="I32" s="166"/>
      <c r="J32" s="166"/>
      <c r="K32" s="166"/>
      <c r="L32" s="166"/>
      <c r="M32" s="166"/>
      <c r="N32" s="166"/>
      <c r="O32" s="166"/>
      <c r="P32" s="166"/>
      <c r="Q32" s="7"/>
      <c r="U32" s="7"/>
      <c r="Y32" s="166"/>
      <c r="Z32" s="166"/>
      <c r="AA32" s="166"/>
      <c r="AB32" s="166"/>
    </row>
    <row r="33" ht="15.75" customHeight="1">
      <c r="A33" s="166"/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7"/>
      <c r="U33" s="7"/>
      <c r="Y33" s="166"/>
      <c r="Z33" s="166"/>
      <c r="AA33" s="166"/>
      <c r="AB33" s="166"/>
    </row>
    <row r="34" ht="15.75" customHeight="1">
      <c r="A34" s="284"/>
      <c r="B34" s="7"/>
      <c r="C34" s="166"/>
      <c r="D34" s="166"/>
      <c r="E34" s="272"/>
      <c r="F34" s="272"/>
      <c r="G34" s="272"/>
      <c r="H34" s="272"/>
      <c r="I34" s="166"/>
      <c r="J34" s="166"/>
      <c r="K34" s="166"/>
      <c r="L34" s="166"/>
      <c r="M34" s="166"/>
      <c r="N34" s="166"/>
      <c r="O34" s="166"/>
      <c r="P34" s="166"/>
      <c r="Q34" s="7"/>
      <c r="U34" s="7"/>
      <c r="Y34" s="166"/>
      <c r="Z34" s="166"/>
      <c r="AA34" s="166"/>
      <c r="AB34" s="166"/>
    </row>
    <row r="35" ht="15.75" customHeight="1">
      <c r="A35" s="284"/>
      <c r="B35" s="166"/>
      <c r="C35" s="166"/>
      <c r="D35" s="166"/>
      <c r="E35" s="272"/>
      <c r="F35" s="272"/>
      <c r="G35" s="272"/>
      <c r="H35" s="272"/>
      <c r="I35" s="166"/>
      <c r="J35" s="166"/>
      <c r="K35" s="166"/>
      <c r="L35" s="166"/>
      <c r="M35" s="166"/>
      <c r="N35" s="166"/>
      <c r="O35" s="166"/>
      <c r="P35" s="166"/>
      <c r="Q35" s="7"/>
      <c r="U35" s="7"/>
      <c r="Y35" s="166"/>
      <c r="Z35" s="166"/>
      <c r="AA35" s="166"/>
      <c r="AB35" s="166"/>
    </row>
    <row r="36" ht="15.75" customHeight="1">
      <c r="A36" s="284"/>
      <c r="B36" s="166"/>
      <c r="C36" s="166"/>
      <c r="D36" s="166"/>
      <c r="E36" s="272"/>
      <c r="F36" s="272"/>
      <c r="G36" s="272"/>
      <c r="H36" s="272"/>
      <c r="I36" s="166"/>
      <c r="J36" s="166"/>
      <c r="K36" s="166"/>
      <c r="L36" s="166"/>
      <c r="M36" s="166"/>
      <c r="N36" s="166"/>
      <c r="O36" s="166"/>
      <c r="P36" s="166"/>
      <c r="Q36" s="7"/>
      <c r="U36" s="7"/>
      <c r="Y36" s="166"/>
      <c r="Z36" s="166"/>
      <c r="AA36" s="166"/>
      <c r="AB36" s="166"/>
    </row>
    <row r="37" ht="15.75" customHeight="1">
      <c r="A37" s="284"/>
      <c r="B37" s="166"/>
      <c r="C37" s="166"/>
      <c r="D37" s="166"/>
      <c r="E37" s="272"/>
      <c r="F37" s="272"/>
      <c r="G37" s="272"/>
      <c r="H37" s="272"/>
      <c r="I37" s="166"/>
      <c r="J37" s="166"/>
      <c r="K37" s="166"/>
      <c r="L37" s="166"/>
      <c r="M37" s="166"/>
      <c r="N37" s="166"/>
      <c r="O37" s="166"/>
      <c r="P37" s="166"/>
      <c r="Q37" s="7"/>
      <c r="U37" s="7"/>
      <c r="Y37" s="166"/>
      <c r="Z37" s="166"/>
      <c r="AA37" s="166"/>
      <c r="AB37" s="166"/>
    </row>
    <row r="38" ht="15.75" customHeight="1">
      <c r="A38" s="284"/>
      <c r="B38" s="166"/>
      <c r="C38" s="166"/>
      <c r="D38" s="166"/>
      <c r="E38" s="272"/>
      <c r="F38" s="272"/>
      <c r="G38" s="272"/>
      <c r="H38" s="67"/>
      <c r="I38" s="166"/>
      <c r="J38" s="166"/>
      <c r="K38" s="166"/>
      <c r="L38" s="166"/>
      <c r="M38" s="166"/>
      <c r="N38" s="166"/>
      <c r="O38" s="166"/>
      <c r="P38" s="166"/>
      <c r="Q38" s="7"/>
      <c r="U38" s="7"/>
      <c r="Y38" s="166"/>
      <c r="Z38" s="166"/>
      <c r="AA38" s="166"/>
      <c r="AB38" s="166"/>
    </row>
    <row r="39" ht="15.75" customHeight="1">
      <c r="A39" s="166"/>
      <c r="B39" s="166"/>
      <c r="C39" s="166"/>
      <c r="D39" s="166"/>
      <c r="E39" s="166"/>
      <c r="F39" s="166"/>
      <c r="G39" s="272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</row>
    <row r="40" ht="15.75" customHeight="1">
      <c r="A40" s="166"/>
      <c r="B40" s="166"/>
      <c r="C40" s="166"/>
      <c r="D40" s="166"/>
      <c r="E40" s="166"/>
      <c r="F40" s="166"/>
      <c r="G40" s="272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</row>
    <row r="41" ht="15.75" customHeight="1">
      <c r="A41" s="166"/>
      <c r="B41" s="166"/>
      <c r="C41" s="166"/>
      <c r="D41" s="166"/>
      <c r="E41" s="166"/>
      <c r="F41" s="166"/>
      <c r="G41" s="272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</row>
    <row r="42" ht="15.75" customHeight="1">
      <c r="A42" s="166"/>
      <c r="B42" s="166"/>
      <c r="C42" s="166"/>
      <c r="D42" s="166"/>
      <c r="E42" s="166"/>
      <c r="F42" s="166"/>
      <c r="G42" s="272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</row>
    <row r="43" ht="15.75" customHeight="1">
      <c r="A43" s="166"/>
      <c r="B43" s="166"/>
      <c r="C43" s="166"/>
      <c r="D43" s="166"/>
      <c r="E43" s="166"/>
      <c r="F43" s="166"/>
      <c r="G43" s="272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</row>
    <row r="44" ht="15.75" customHeight="1">
      <c r="A44" s="166"/>
      <c r="B44" s="166"/>
      <c r="C44" s="166"/>
      <c r="D44" s="166"/>
      <c r="E44" s="166"/>
      <c r="F44" s="166"/>
      <c r="G44" s="272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</row>
    <row r="45" ht="15.75" customHeight="1">
      <c r="A45" s="166"/>
      <c r="B45" s="166"/>
      <c r="C45" s="166"/>
      <c r="D45" s="166"/>
      <c r="E45" s="166"/>
      <c r="F45" s="166"/>
      <c r="G45" s="272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</row>
    <row r="46" ht="15.75" customHeight="1">
      <c r="A46" s="166"/>
      <c r="B46" s="166"/>
      <c r="C46" s="166"/>
      <c r="D46" s="166"/>
      <c r="E46" s="166"/>
      <c r="F46" s="166"/>
      <c r="G46" s="272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</row>
    <row r="47" ht="15.75" customHeight="1">
      <c r="A47" s="166"/>
      <c r="B47" s="166"/>
      <c r="C47" s="166"/>
      <c r="D47" s="166"/>
      <c r="E47" s="166"/>
      <c r="F47" s="166"/>
      <c r="G47" s="272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</row>
    <row r="48" ht="15.75" customHeight="1">
      <c r="A48" s="166"/>
      <c r="B48" s="166"/>
      <c r="C48" s="166"/>
      <c r="D48" s="166"/>
      <c r="E48" s="166"/>
      <c r="F48" s="166"/>
      <c r="G48" s="272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</row>
    <row r="49" ht="15.75" customHeight="1">
      <c r="A49" s="166"/>
      <c r="B49" s="166"/>
      <c r="C49" s="166"/>
      <c r="D49" s="166"/>
      <c r="E49" s="166"/>
      <c r="F49" s="166"/>
      <c r="G49" s="272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</row>
    <row r="50" ht="15.75" customHeight="1">
      <c r="A50" s="166"/>
      <c r="B50" s="166"/>
      <c r="C50" s="166"/>
      <c r="D50" s="166"/>
      <c r="E50" s="166"/>
      <c r="F50" s="166"/>
      <c r="G50" s="272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</row>
    <row r="51" ht="15.75" customHeight="1">
      <c r="A51" s="166"/>
      <c r="B51" s="166"/>
      <c r="C51" s="166"/>
      <c r="D51" s="166"/>
      <c r="E51" s="166"/>
      <c r="F51" s="166"/>
      <c r="G51" s="272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</row>
    <row r="52" ht="15.75" customHeight="1">
      <c r="A52" s="166"/>
      <c r="B52" s="166"/>
      <c r="C52" s="166"/>
      <c r="D52" s="166"/>
      <c r="E52" s="166"/>
      <c r="F52" s="166"/>
      <c r="G52" s="272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</row>
    <row r="53" ht="15.75" customHeight="1">
      <c r="A53" s="166"/>
      <c r="B53" s="166"/>
      <c r="C53" s="166"/>
      <c r="D53" s="166"/>
      <c r="E53" s="166"/>
      <c r="F53" s="166"/>
      <c r="G53" s="272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</row>
    <row r="54" ht="15.75" customHeight="1">
      <c r="A54" s="166"/>
      <c r="B54" s="166"/>
      <c r="C54" s="166"/>
      <c r="D54" s="166"/>
      <c r="E54" s="166"/>
      <c r="F54" s="166"/>
      <c r="G54" s="272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</row>
    <row r="55" ht="15.75" customHeight="1">
      <c r="A55" s="166"/>
      <c r="B55" s="166"/>
      <c r="C55" s="166"/>
      <c r="D55" s="166"/>
      <c r="E55" s="166"/>
      <c r="F55" s="166"/>
      <c r="G55" s="272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</row>
    <row r="56" ht="15.75" customHeight="1">
      <c r="A56" s="166"/>
      <c r="B56" s="166"/>
      <c r="C56" s="166"/>
      <c r="D56" s="166"/>
      <c r="E56" s="166"/>
      <c r="F56" s="166"/>
      <c r="G56" s="272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</row>
    <row r="57" ht="15.75" customHeight="1">
      <c r="A57" s="166"/>
      <c r="B57" s="166"/>
      <c r="C57" s="166"/>
      <c r="D57" s="166"/>
      <c r="E57" s="166"/>
      <c r="F57" s="166"/>
      <c r="G57" s="272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</row>
    <row r="58" ht="15.75" customHeight="1">
      <c r="A58" s="166"/>
      <c r="B58" s="166"/>
      <c r="C58" s="166"/>
      <c r="D58" s="166"/>
      <c r="E58" s="166"/>
      <c r="F58" s="166"/>
      <c r="G58" s="272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</row>
    <row r="59" ht="15.75" customHeight="1">
      <c r="A59" s="166"/>
      <c r="B59" s="166"/>
      <c r="C59" s="166"/>
      <c r="D59" s="166"/>
      <c r="E59" s="166"/>
      <c r="F59" s="166"/>
      <c r="G59" s="272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</row>
    <row r="60" ht="15.75" customHeight="1">
      <c r="A60" s="166"/>
      <c r="B60" s="166"/>
      <c r="C60" s="166"/>
      <c r="D60" s="166"/>
      <c r="E60" s="166"/>
      <c r="F60" s="166"/>
      <c r="G60" s="272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</row>
    <row r="61" ht="15.75" customHeight="1">
      <c r="A61" s="166"/>
      <c r="B61" s="166"/>
      <c r="C61" s="166"/>
      <c r="D61" s="166"/>
      <c r="E61" s="166"/>
      <c r="F61" s="166"/>
      <c r="G61" s="272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</row>
    <row r="62" ht="15.75" customHeight="1">
      <c r="A62" s="166"/>
      <c r="B62" s="166"/>
      <c r="C62" s="166"/>
      <c r="D62" s="166"/>
      <c r="E62" s="166"/>
      <c r="F62" s="166"/>
      <c r="G62" s="272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</row>
    <row r="63" ht="15.75" customHeight="1">
      <c r="A63" s="166"/>
      <c r="B63" s="166"/>
      <c r="C63" s="166"/>
      <c r="D63" s="166"/>
      <c r="E63" s="166"/>
      <c r="F63" s="166"/>
      <c r="G63" s="272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</row>
    <row r="64" ht="15.75" customHeight="1">
      <c r="A64" s="166"/>
      <c r="B64" s="166"/>
      <c r="C64" s="166"/>
      <c r="D64" s="166"/>
      <c r="E64" s="166"/>
      <c r="F64" s="166"/>
      <c r="G64" s="272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</row>
    <row r="65" ht="15.75" customHeight="1">
      <c r="A65" s="166"/>
      <c r="B65" s="166"/>
      <c r="C65" s="166"/>
      <c r="D65" s="166"/>
      <c r="E65" s="166"/>
      <c r="F65" s="166"/>
      <c r="G65" s="272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</row>
    <row r="66" ht="15.75" customHeight="1">
      <c r="A66" s="166"/>
      <c r="B66" s="166"/>
      <c r="C66" s="166"/>
      <c r="D66" s="166"/>
      <c r="E66" s="166"/>
      <c r="F66" s="166"/>
      <c r="G66" s="272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</row>
    <row r="67" ht="15.75" customHeight="1">
      <c r="A67" s="166"/>
      <c r="B67" s="166"/>
      <c r="C67" s="166"/>
      <c r="D67" s="166"/>
      <c r="E67" s="166"/>
      <c r="F67" s="166"/>
      <c r="G67" s="272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</row>
    <row r="68" ht="15.75" customHeight="1">
      <c r="A68" s="166"/>
      <c r="B68" s="166"/>
      <c r="C68" s="166"/>
      <c r="D68" s="166"/>
      <c r="E68" s="166"/>
      <c r="F68" s="166"/>
      <c r="G68" s="272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</row>
    <row r="69" ht="15.75" customHeight="1">
      <c r="A69" s="166"/>
      <c r="B69" s="166"/>
      <c r="C69" s="166"/>
      <c r="D69" s="166"/>
      <c r="E69" s="166"/>
      <c r="F69" s="166"/>
      <c r="G69" s="272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</row>
    <row r="70" ht="15.75" customHeight="1">
      <c r="A70" s="166"/>
      <c r="B70" s="166"/>
      <c r="C70" s="166"/>
      <c r="D70" s="166"/>
      <c r="E70" s="166"/>
      <c r="F70" s="166"/>
      <c r="G70" s="272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</row>
    <row r="71" ht="15.75" customHeight="1">
      <c r="A71" s="166"/>
      <c r="B71" s="166"/>
      <c r="C71" s="166"/>
      <c r="D71" s="166"/>
      <c r="E71" s="166"/>
      <c r="F71" s="166"/>
      <c r="G71" s="272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</row>
    <row r="72" ht="15.75" customHeight="1">
      <c r="A72" s="166"/>
      <c r="B72" s="166"/>
      <c r="C72" s="166"/>
      <c r="D72" s="166"/>
      <c r="E72" s="166"/>
      <c r="F72" s="166"/>
      <c r="G72" s="272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</row>
    <row r="73" ht="15.75" customHeight="1">
      <c r="A73" s="166"/>
      <c r="B73" s="166"/>
      <c r="C73" s="166"/>
      <c r="D73" s="166"/>
      <c r="E73" s="166"/>
      <c r="F73" s="166"/>
      <c r="G73" s="272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</row>
    <row r="74" ht="15.75" customHeight="1">
      <c r="A74" s="166"/>
      <c r="B74" s="166"/>
      <c r="C74" s="166"/>
      <c r="D74" s="166"/>
      <c r="E74" s="166"/>
      <c r="F74" s="166"/>
      <c r="G74" s="272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</row>
    <row r="75" ht="15.75" customHeight="1">
      <c r="A75" s="166"/>
      <c r="B75" s="166"/>
      <c r="C75" s="166"/>
      <c r="D75" s="166"/>
      <c r="E75" s="166"/>
      <c r="F75" s="166"/>
      <c r="G75" s="272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</row>
    <row r="76" ht="15.75" customHeight="1">
      <c r="A76" s="166"/>
      <c r="B76" s="166"/>
      <c r="C76" s="166"/>
      <c r="D76" s="166"/>
      <c r="E76" s="166"/>
      <c r="F76" s="166"/>
      <c r="G76" s="272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</row>
    <row r="77" ht="15.75" customHeight="1">
      <c r="A77" s="166"/>
      <c r="B77" s="166"/>
      <c r="C77" s="166"/>
      <c r="D77" s="166"/>
      <c r="E77" s="166"/>
      <c r="F77" s="166"/>
      <c r="G77" s="272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</row>
    <row r="78" ht="15.75" customHeight="1">
      <c r="A78" s="166"/>
      <c r="B78" s="166"/>
      <c r="C78" s="166"/>
      <c r="D78" s="166"/>
      <c r="E78" s="166"/>
      <c r="F78" s="166"/>
      <c r="G78" s="272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</row>
    <row r="79" ht="15.75" customHeight="1">
      <c r="A79" s="166"/>
      <c r="B79" s="166"/>
      <c r="C79" s="166"/>
      <c r="D79" s="166"/>
      <c r="E79" s="166"/>
      <c r="F79" s="166"/>
      <c r="G79" s="272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</row>
    <row r="80" ht="15.75" customHeight="1">
      <c r="A80" s="166"/>
      <c r="B80" s="166"/>
      <c r="C80" s="166"/>
      <c r="D80" s="166"/>
      <c r="E80" s="166"/>
      <c r="F80" s="166"/>
      <c r="G80" s="272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</row>
    <row r="81" ht="15.75" customHeight="1">
      <c r="A81" s="166"/>
      <c r="B81" s="166"/>
      <c r="C81" s="166"/>
      <c r="D81" s="166"/>
      <c r="E81" s="166"/>
      <c r="F81" s="166"/>
      <c r="G81" s="272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</row>
    <row r="82" ht="15.75" customHeight="1">
      <c r="A82" s="166"/>
      <c r="B82" s="166"/>
      <c r="C82" s="166"/>
      <c r="D82" s="166"/>
      <c r="E82" s="166"/>
      <c r="F82" s="166"/>
      <c r="G82" s="272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</row>
    <row r="83" ht="15.75" customHeight="1">
      <c r="A83" s="166"/>
      <c r="B83" s="166"/>
      <c r="C83" s="166"/>
      <c r="D83" s="166"/>
      <c r="E83" s="166"/>
      <c r="F83" s="166"/>
      <c r="G83" s="272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</row>
    <row r="84" ht="15.75" customHeight="1">
      <c r="A84" s="166"/>
      <c r="B84" s="166"/>
      <c r="C84" s="166"/>
      <c r="D84" s="166"/>
      <c r="E84" s="166"/>
      <c r="F84" s="166"/>
      <c r="G84" s="272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</row>
    <row r="85" ht="15.75" customHeight="1">
      <c r="A85" s="166"/>
      <c r="B85" s="166"/>
      <c r="C85" s="166"/>
      <c r="D85" s="166"/>
      <c r="E85" s="166"/>
      <c r="F85" s="166"/>
      <c r="G85" s="272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ht="15.75" customHeight="1">
      <c r="A86" s="166"/>
      <c r="B86" s="166"/>
      <c r="C86" s="166"/>
      <c r="D86" s="166"/>
      <c r="E86" s="166"/>
      <c r="F86" s="166"/>
      <c r="G86" s="272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</row>
    <row r="87" ht="15.75" customHeight="1">
      <c r="A87" s="166"/>
      <c r="B87" s="166"/>
      <c r="C87" s="166"/>
      <c r="D87" s="166"/>
      <c r="E87" s="166"/>
      <c r="F87" s="166"/>
      <c r="G87" s="272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</row>
    <row r="88" ht="15.75" customHeight="1">
      <c r="A88" s="166"/>
      <c r="B88" s="166"/>
      <c r="C88" s="166"/>
      <c r="D88" s="166"/>
      <c r="E88" s="166"/>
      <c r="F88" s="166"/>
      <c r="G88" s="272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</row>
    <row r="89" ht="15.75" customHeight="1">
      <c r="A89" s="166"/>
      <c r="B89" s="166"/>
      <c r="C89" s="166"/>
      <c r="D89" s="166"/>
      <c r="E89" s="166"/>
      <c r="F89" s="166"/>
      <c r="G89" s="272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</row>
    <row r="90" ht="15.75" customHeight="1">
      <c r="A90" s="166"/>
      <c r="B90" s="166"/>
      <c r="C90" s="166"/>
      <c r="D90" s="166"/>
      <c r="E90" s="166"/>
      <c r="F90" s="166"/>
      <c r="G90" s="272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</row>
    <row r="91" ht="15.75" customHeight="1">
      <c r="A91" s="166"/>
      <c r="B91" s="166"/>
      <c r="C91" s="166"/>
      <c r="D91" s="166"/>
      <c r="E91" s="166"/>
      <c r="F91" s="166"/>
      <c r="G91" s="272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</row>
    <row r="92" ht="15.75" customHeight="1">
      <c r="A92" s="166"/>
      <c r="B92" s="166"/>
      <c r="C92" s="166"/>
      <c r="D92" s="166"/>
      <c r="E92" s="166"/>
      <c r="F92" s="166"/>
      <c r="G92" s="272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</row>
    <row r="93" ht="15.75" customHeight="1">
      <c r="A93" s="166"/>
      <c r="B93" s="166"/>
      <c r="C93" s="166"/>
      <c r="D93" s="166"/>
      <c r="E93" s="166"/>
      <c r="F93" s="166"/>
      <c r="G93" s="272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</row>
    <row r="94" ht="15.75" customHeight="1">
      <c r="A94" s="166"/>
      <c r="B94" s="166"/>
      <c r="C94" s="166"/>
      <c r="D94" s="166"/>
      <c r="E94" s="166"/>
      <c r="F94" s="166"/>
      <c r="G94" s="272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</row>
    <row r="95" ht="15.75" customHeight="1">
      <c r="A95" s="166"/>
      <c r="B95" s="166"/>
      <c r="C95" s="166"/>
      <c r="D95" s="166"/>
      <c r="E95" s="166"/>
      <c r="F95" s="166"/>
      <c r="G95" s="272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</row>
    <row r="96" ht="15.75" customHeight="1">
      <c r="A96" s="166"/>
      <c r="B96" s="166"/>
      <c r="C96" s="166"/>
      <c r="D96" s="166"/>
      <c r="E96" s="166"/>
      <c r="F96" s="166"/>
      <c r="G96" s="272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</row>
    <row r="97" ht="15.75" customHeight="1">
      <c r="A97" s="166"/>
      <c r="B97" s="166"/>
      <c r="C97" s="166"/>
      <c r="D97" s="166"/>
      <c r="E97" s="166"/>
      <c r="F97" s="166"/>
      <c r="G97" s="272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</row>
    <row r="98" ht="15.75" customHeight="1">
      <c r="A98" s="166"/>
      <c r="B98" s="166"/>
      <c r="C98" s="166"/>
      <c r="D98" s="166"/>
      <c r="E98" s="166"/>
      <c r="F98" s="166"/>
      <c r="G98" s="272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</row>
    <row r="99" ht="15.75" customHeight="1">
      <c r="A99" s="166"/>
      <c r="B99" s="166"/>
      <c r="C99" s="166"/>
      <c r="D99" s="166"/>
      <c r="E99" s="166"/>
      <c r="F99" s="166"/>
      <c r="G99" s="272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</row>
    <row r="100" ht="15.75" customHeight="1">
      <c r="A100" s="166"/>
      <c r="B100" s="166"/>
      <c r="C100" s="166"/>
      <c r="D100" s="166"/>
      <c r="E100" s="166"/>
      <c r="F100" s="166"/>
      <c r="G100" s="272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</row>
    <row r="101" ht="15.75" customHeight="1">
      <c r="A101" s="166"/>
      <c r="B101" s="166"/>
      <c r="C101" s="166"/>
      <c r="D101" s="166"/>
      <c r="E101" s="166"/>
      <c r="F101" s="166"/>
      <c r="G101" s="272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</row>
    <row r="102" ht="15.75" customHeight="1">
      <c r="A102" s="166"/>
      <c r="B102" s="166"/>
      <c r="C102" s="166"/>
      <c r="D102" s="166"/>
      <c r="E102" s="166"/>
      <c r="F102" s="166"/>
      <c r="G102" s="272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</row>
    <row r="103" ht="15.75" customHeight="1">
      <c r="A103" s="166"/>
      <c r="B103" s="166"/>
      <c r="C103" s="166"/>
      <c r="D103" s="166"/>
      <c r="E103" s="166"/>
      <c r="F103" s="166"/>
      <c r="G103" s="272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</row>
    <row r="104" ht="15.75" customHeight="1">
      <c r="A104" s="166"/>
      <c r="B104" s="166"/>
      <c r="C104" s="166"/>
      <c r="D104" s="166"/>
      <c r="E104" s="166"/>
      <c r="F104" s="166"/>
      <c r="G104" s="272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</row>
    <row r="105" ht="15.75" customHeight="1">
      <c r="A105" s="166"/>
      <c r="B105" s="166"/>
      <c r="C105" s="166"/>
      <c r="D105" s="166"/>
      <c r="E105" s="166"/>
      <c r="F105" s="166"/>
      <c r="G105" s="272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</row>
    <row r="106" ht="15.75" customHeight="1">
      <c r="A106" s="166"/>
      <c r="B106" s="166"/>
      <c r="C106" s="166"/>
      <c r="D106" s="166"/>
      <c r="E106" s="166"/>
      <c r="F106" s="166"/>
      <c r="G106" s="272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</row>
    <row r="107" ht="15.75" customHeight="1">
      <c r="A107" s="166"/>
      <c r="B107" s="166"/>
      <c r="C107" s="166"/>
      <c r="D107" s="166"/>
      <c r="E107" s="166"/>
      <c r="F107" s="166"/>
      <c r="G107" s="272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</row>
    <row r="108" ht="15.75" customHeight="1">
      <c r="A108" s="166"/>
      <c r="B108" s="166"/>
      <c r="C108" s="166"/>
      <c r="D108" s="166"/>
      <c r="E108" s="166"/>
      <c r="F108" s="166"/>
      <c r="G108" s="272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</row>
    <row r="109" ht="15.75" customHeight="1">
      <c r="A109" s="166"/>
      <c r="B109" s="166"/>
      <c r="C109" s="166"/>
      <c r="D109" s="166"/>
      <c r="E109" s="166"/>
      <c r="F109" s="166"/>
      <c r="G109" s="27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</row>
    <row r="110" ht="15.75" customHeight="1">
      <c r="A110" s="166"/>
      <c r="B110" s="166"/>
      <c r="C110" s="166"/>
      <c r="D110" s="166"/>
      <c r="E110" s="166"/>
      <c r="F110" s="166"/>
      <c r="G110" s="272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</row>
    <row r="111" ht="15.75" customHeight="1">
      <c r="A111" s="166"/>
      <c r="B111" s="166"/>
      <c r="C111" s="166"/>
      <c r="D111" s="166"/>
      <c r="E111" s="166"/>
      <c r="F111" s="166"/>
      <c r="G111" s="272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</row>
    <row r="112" ht="15.75" customHeight="1">
      <c r="A112" s="166"/>
      <c r="B112" s="166"/>
      <c r="C112" s="166"/>
      <c r="D112" s="166"/>
      <c r="E112" s="166"/>
      <c r="F112" s="166"/>
      <c r="G112" s="272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</row>
    <row r="113" ht="15.75" customHeight="1">
      <c r="A113" s="166"/>
      <c r="B113" s="166"/>
      <c r="C113" s="166"/>
      <c r="D113" s="166"/>
      <c r="E113" s="166"/>
      <c r="F113" s="166"/>
      <c r="G113" s="272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</row>
    <row r="114" ht="15.75" customHeight="1">
      <c r="A114" s="166"/>
      <c r="B114" s="166"/>
      <c r="C114" s="166"/>
      <c r="D114" s="166"/>
      <c r="E114" s="166"/>
      <c r="F114" s="166"/>
      <c r="G114" s="272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</row>
    <row r="115" ht="15.75" customHeight="1">
      <c r="A115" s="166"/>
      <c r="B115" s="166"/>
      <c r="C115" s="166"/>
      <c r="D115" s="166"/>
      <c r="E115" s="166"/>
      <c r="F115" s="166"/>
      <c r="G115" s="272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</row>
    <row r="116" ht="15.75" customHeight="1">
      <c r="A116" s="166"/>
      <c r="B116" s="166"/>
      <c r="C116" s="166"/>
      <c r="D116" s="166"/>
      <c r="E116" s="166"/>
      <c r="F116" s="166"/>
      <c r="G116" s="272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  <c r="AB116" s="166"/>
    </row>
    <row r="117" ht="15.75" customHeight="1">
      <c r="A117" s="166"/>
      <c r="B117" s="166"/>
      <c r="C117" s="166"/>
      <c r="D117" s="166"/>
      <c r="E117" s="166"/>
      <c r="F117" s="166"/>
      <c r="G117" s="272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  <c r="AB117" s="166"/>
    </row>
    <row r="118" ht="15.75" customHeight="1">
      <c r="A118" s="166"/>
      <c r="B118" s="166"/>
      <c r="C118" s="166"/>
      <c r="D118" s="166"/>
      <c r="E118" s="166"/>
      <c r="F118" s="166"/>
      <c r="G118" s="272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  <c r="AB118" s="166"/>
    </row>
    <row r="119" ht="15.75" customHeight="1">
      <c r="A119" s="166"/>
      <c r="B119" s="166"/>
      <c r="C119" s="166"/>
      <c r="D119" s="166"/>
      <c r="E119" s="166"/>
      <c r="F119" s="166"/>
      <c r="G119" s="272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  <c r="AB119" s="166"/>
    </row>
    <row r="120" ht="15.75" customHeight="1">
      <c r="A120" s="166"/>
      <c r="B120" s="166"/>
      <c r="C120" s="166"/>
      <c r="D120" s="166"/>
      <c r="E120" s="166"/>
      <c r="F120" s="166"/>
      <c r="G120" s="272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  <c r="AB120" s="166"/>
    </row>
    <row r="121" ht="15.75" customHeight="1">
      <c r="A121" s="166"/>
      <c r="B121" s="166"/>
      <c r="C121" s="166"/>
      <c r="D121" s="166"/>
      <c r="E121" s="166"/>
      <c r="F121" s="166"/>
      <c r="G121" s="272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  <c r="AB121" s="166"/>
    </row>
    <row r="122" ht="15.75" customHeight="1">
      <c r="A122" s="166"/>
      <c r="B122" s="166"/>
      <c r="C122" s="166"/>
      <c r="D122" s="166"/>
      <c r="E122" s="166"/>
      <c r="F122" s="166"/>
      <c r="G122" s="272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</row>
    <row r="123" ht="15.75" customHeight="1">
      <c r="A123" s="166"/>
      <c r="B123" s="166"/>
      <c r="C123" s="166"/>
      <c r="D123" s="166"/>
      <c r="E123" s="166"/>
      <c r="F123" s="166"/>
      <c r="G123" s="272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  <c r="AB123" s="166"/>
    </row>
    <row r="124" ht="15.75" customHeight="1">
      <c r="A124" s="166"/>
      <c r="B124" s="166"/>
      <c r="C124" s="166"/>
      <c r="D124" s="166"/>
      <c r="E124" s="166"/>
      <c r="F124" s="166"/>
      <c r="G124" s="272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  <c r="AB124" s="166"/>
    </row>
    <row r="125" ht="15.75" customHeight="1">
      <c r="A125" s="166"/>
      <c r="B125" s="166"/>
      <c r="C125" s="166"/>
      <c r="D125" s="166"/>
      <c r="E125" s="166"/>
      <c r="F125" s="166"/>
      <c r="G125" s="272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  <c r="AB125" s="166"/>
    </row>
    <row r="126" ht="15.75" customHeight="1">
      <c r="A126" s="166"/>
      <c r="B126" s="166"/>
      <c r="C126" s="166"/>
      <c r="D126" s="166"/>
      <c r="E126" s="166"/>
      <c r="F126" s="166"/>
      <c r="G126" s="272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  <c r="AB126" s="166"/>
    </row>
    <row r="127" ht="15.75" customHeight="1">
      <c r="A127" s="166"/>
      <c r="B127" s="166"/>
      <c r="C127" s="166"/>
      <c r="D127" s="166"/>
      <c r="E127" s="166"/>
      <c r="F127" s="166"/>
      <c r="G127" s="272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</row>
    <row r="128" ht="15.75" customHeight="1">
      <c r="A128" s="166"/>
      <c r="B128" s="166"/>
      <c r="C128" s="166"/>
      <c r="D128" s="166"/>
      <c r="E128" s="166"/>
      <c r="F128" s="166"/>
      <c r="G128" s="272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</row>
    <row r="129" ht="15.75" customHeight="1">
      <c r="A129" s="166"/>
      <c r="B129" s="166"/>
      <c r="C129" s="166"/>
      <c r="D129" s="166"/>
      <c r="E129" s="166"/>
      <c r="F129" s="166"/>
      <c r="G129" s="272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  <c r="AB129" s="166"/>
    </row>
    <row r="130" ht="15.75" customHeight="1">
      <c r="A130" s="166"/>
      <c r="B130" s="166"/>
      <c r="C130" s="166"/>
      <c r="D130" s="166"/>
      <c r="E130" s="166"/>
      <c r="F130" s="166"/>
      <c r="G130" s="272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  <c r="AB130" s="166"/>
    </row>
    <row r="131" ht="15.75" customHeight="1">
      <c r="A131" s="166"/>
      <c r="B131" s="166"/>
      <c r="C131" s="166"/>
      <c r="D131" s="166"/>
      <c r="E131" s="166"/>
      <c r="F131" s="166"/>
      <c r="G131" s="272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  <c r="AB131" s="166"/>
    </row>
    <row r="132" ht="15.75" customHeight="1">
      <c r="A132" s="166"/>
      <c r="B132" s="166"/>
      <c r="C132" s="166"/>
      <c r="D132" s="166"/>
      <c r="E132" s="166"/>
      <c r="F132" s="166"/>
      <c r="G132" s="272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</row>
    <row r="133" ht="15.75" customHeight="1">
      <c r="A133" s="166"/>
      <c r="B133" s="166"/>
      <c r="C133" s="166"/>
      <c r="D133" s="166"/>
      <c r="E133" s="166"/>
      <c r="F133" s="166"/>
      <c r="G133" s="272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  <c r="AB133" s="166"/>
    </row>
    <row r="134" ht="15.75" customHeight="1">
      <c r="A134" s="166"/>
      <c r="B134" s="166"/>
      <c r="C134" s="166"/>
      <c r="D134" s="166"/>
      <c r="E134" s="166"/>
      <c r="F134" s="166"/>
      <c r="G134" s="272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  <c r="AB134" s="166"/>
    </row>
    <row r="135" ht="15.75" customHeight="1">
      <c r="A135" s="166"/>
      <c r="B135" s="166"/>
      <c r="C135" s="166"/>
      <c r="D135" s="166"/>
      <c r="E135" s="166"/>
      <c r="F135" s="166"/>
      <c r="G135" s="272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  <c r="AB135" s="166"/>
    </row>
    <row r="136" ht="15.75" customHeight="1">
      <c r="A136" s="166"/>
      <c r="B136" s="166"/>
      <c r="C136" s="166"/>
      <c r="D136" s="166"/>
      <c r="E136" s="166"/>
      <c r="F136" s="166"/>
      <c r="G136" s="272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  <c r="AB136" s="166"/>
    </row>
    <row r="137" ht="15.75" customHeight="1">
      <c r="A137" s="166"/>
      <c r="B137" s="166"/>
      <c r="C137" s="166"/>
      <c r="D137" s="166"/>
      <c r="E137" s="166"/>
      <c r="F137" s="166"/>
      <c r="G137" s="272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  <c r="AB137" s="166"/>
    </row>
    <row r="138" ht="15.75" customHeight="1">
      <c r="A138" s="166"/>
      <c r="B138" s="166"/>
      <c r="C138" s="166"/>
      <c r="D138" s="166"/>
      <c r="E138" s="166"/>
      <c r="F138" s="166"/>
      <c r="G138" s="272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  <c r="AB138" s="166"/>
    </row>
    <row r="139" ht="15.75" customHeight="1">
      <c r="A139" s="166"/>
      <c r="B139" s="166"/>
      <c r="C139" s="166"/>
      <c r="D139" s="166"/>
      <c r="E139" s="166"/>
      <c r="F139" s="166"/>
      <c r="G139" s="272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  <c r="AB139" s="166"/>
    </row>
    <row r="140" ht="15.75" customHeight="1">
      <c r="A140" s="166"/>
      <c r="B140" s="166"/>
      <c r="C140" s="166"/>
      <c r="D140" s="166"/>
      <c r="E140" s="166"/>
      <c r="F140" s="166"/>
      <c r="G140" s="272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  <c r="AB140" s="166"/>
    </row>
    <row r="141" ht="15.75" customHeight="1">
      <c r="A141" s="166"/>
      <c r="B141" s="166"/>
      <c r="C141" s="166"/>
      <c r="D141" s="166"/>
      <c r="E141" s="166"/>
      <c r="F141" s="166"/>
      <c r="G141" s="272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  <c r="AB141" s="166"/>
    </row>
    <row r="142" ht="15.75" customHeight="1">
      <c r="A142" s="166"/>
      <c r="B142" s="166"/>
      <c r="C142" s="166"/>
      <c r="D142" s="166"/>
      <c r="E142" s="166"/>
      <c r="F142" s="166"/>
      <c r="G142" s="272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  <c r="AB142" s="166"/>
    </row>
    <row r="143" ht="15.75" customHeight="1">
      <c r="A143" s="166"/>
      <c r="B143" s="166"/>
      <c r="C143" s="166"/>
      <c r="D143" s="166"/>
      <c r="E143" s="166"/>
      <c r="F143" s="166"/>
      <c r="G143" s="272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  <c r="AB143" s="166"/>
    </row>
    <row r="144" ht="15.75" customHeight="1">
      <c r="A144" s="166"/>
      <c r="B144" s="166"/>
      <c r="C144" s="166"/>
      <c r="D144" s="166"/>
      <c r="E144" s="166"/>
      <c r="F144" s="166"/>
      <c r="G144" s="272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  <c r="AB144" s="166"/>
    </row>
    <row r="145" ht="15.75" customHeight="1">
      <c r="A145" s="166"/>
      <c r="B145" s="166"/>
      <c r="C145" s="166"/>
      <c r="D145" s="166"/>
      <c r="E145" s="166"/>
      <c r="F145" s="166"/>
      <c r="G145" s="272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  <c r="AB145" s="166"/>
    </row>
    <row r="146" ht="15.75" customHeight="1">
      <c r="A146" s="166"/>
      <c r="B146" s="166"/>
      <c r="C146" s="166"/>
      <c r="D146" s="166"/>
      <c r="E146" s="166"/>
      <c r="F146" s="166"/>
      <c r="G146" s="272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</row>
    <row r="147" ht="15.75" customHeight="1">
      <c r="A147" s="166"/>
      <c r="B147" s="166"/>
      <c r="C147" s="166"/>
      <c r="D147" s="166"/>
      <c r="E147" s="166"/>
      <c r="F147" s="166"/>
      <c r="G147" s="272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</row>
    <row r="148" ht="15.75" customHeight="1">
      <c r="A148" s="166"/>
      <c r="B148" s="166"/>
      <c r="C148" s="166"/>
      <c r="D148" s="166"/>
      <c r="E148" s="166"/>
      <c r="F148" s="166"/>
      <c r="G148" s="272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</row>
    <row r="149" ht="15.75" customHeight="1">
      <c r="A149" s="166"/>
      <c r="B149" s="166"/>
      <c r="C149" s="166"/>
      <c r="D149" s="166"/>
      <c r="E149" s="166"/>
      <c r="F149" s="166"/>
      <c r="G149" s="272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</row>
    <row r="150" ht="15.75" customHeight="1">
      <c r="A150" s="166"/>
      <c r="B150" s="166"/>
      <c r="C150" s="166"/>
      <c r="D150" s="166"/>
      <c r="E150" s="166"/>
      <c r="F150" s="166"/>
      <c r="G150" s="272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</row>
    <row r="151" ht="15.75" customHeight="1">
      <c r="A151" s="166"/>
      <c r="B151" s="166"/>
      <c r="C151" s="166"/>
      <c r="D151" s="166"/>
      <c r="E151" s="166"/>
      <c r="F151" s="166"/>
      <c r="G151" s="272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</row>
    <row r="152" ht="15.75" customHeight="1">
      <c r="A152" s="166"/>
      <c r="B152" s="166"/>
      <c r="C152" s="166"/>
      <c r="D152" s="166"/>
      <c r="E152" s="166"/>
      <c r="F152" s="166"/>
      <c r="G152" s="272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</row>
    <row r="153" ht="15.75" customHeight="1">
      <c r="A153" s="166"/>
      <c r="B153" s="166"/>
      <c r="C153" s="166"/>
      <c r="D153" s="166"/>
      <c r="E153" s="166"/>
      <c r="F153" s="166"/>
      <c r="G153" s="272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</row>
    <row r="154" ht="15.75" customHeight="1">
      <c r="A154" s="166"/>
      <c r="B154" s="166"/>
      <c r="C154" s="166"/>
      <c r="D154" s="166"/>
      <c r="E154" s="166"/>
      <c r="F154" s="166"/>
      <c r="G154" s="272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</row>
    <row r="155" ht="15.75" customHeight="1">
      <c r="A155" s="166"/>
      <c r="B155" s="166"/>
      <c r="C155" s="166"/>
      <c r="D155" s="166"/>
      <c r="E155" s="166"/>
      <c r="F155" s="166"/>
      <c r="G155" s="272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</row>
    <row r="156" ht="15.75" customHeight="1">
      <c r="A156" s="166"/>
      <c r="B156" s="166"/>
      <c r="C156" s="166"/>
      <c r="D156" s="166"/>
      <c r="E156" s="166"/>
      <c r="F156" s="166"/>
      <c r="G156" s="272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</row>
    <row r="157" ht="15.75" customHeight="1">
      <c r="A157" s="166"/>
      <c r="B157" s="166"/>
      <c r="C157" s="166"/>
      <c r="D157" s="166"/>
      <c r="E157" s="166"/>
      <c r="F157" s="166"/>
      <c r="G157" s="272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</row>
    <row r="158" ht="15.75" customHeight="1">
      <c r="A158" s="166"/>
      <c r="B158" s="166"/>
      <c r="C158" s="166"/>
      <c r="D158" s="166"/>
      <c r="E158" s="166"/>
      <c r="F158" s="166"/>
      <c r="G158" s="272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</row>
    <row r="159" ht="15.75" customHeight="1">
      <c r="A159" s="166"/>
      <c r="B159" s="166"/>
      <c r="C159" s="166"/>
      <c r="D159" s="166"/>
      <c r="E159" s="166"/>
      <c r="F159" s="166"/>
      <c r="G159" s="272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</row>
    <row r="160" ht="15.75" customHeight="1">
      <c r="A160" s="166"/>
      <c r="B160" s="166"/>
      <c r="C160" s="166"/>
      <c r="D160" s="166"/>
      <c r="E160" s="166"/>
      <c r="F160" s="166"/>
      <c r="G160" s="272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</row>
    <row r="161" ht="15.75" customHeight="1">
      <c r="A161" s="166"/>
      <c r="B161" s="166"/>
      <c r="C161" s="166"/>
      <c r="D161" s="166"/>
      <c r="E161" s="166"/>
      <c r="F161" s="166"/>
      <c r="G161" s="272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</row>
    <row r="162" ht="15.75" customHeight="1">
      <c r="A162" s="166"/>
      <c r="B162" s="166"/>
      <c r="C162" s="166"/>
      <c r="D162" s="166"/>
      <c r="E162" s="166"/>
      <c r="F162" s="166"/>
      <c r="G162" s="272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</row>
    <row r="163" ht="15.75" customHeight="1">
      <c r="A163" s="166"/>
      <c r="B163" s="166"/>
      <c r="C163" s="166"/>
      <c r="D163" s="166"/>
      <c r="E163" s="166"/>
      <c r="F163" s="166"/>
      <c r="G163" s="272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</row>
    <row r="164" ht="15.75" customHeight="1">
      <c r="A164" s="166"/>
      <c r="B164" s="166"/>
      <c r="C164" s="166"/>
      <c r="D164" s="166"/>
      <c r="E164" s="166"/>
      <c r="F164" s="166"/>
      <c r="G164" s="272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</row>
    <row r="165" ht="15.75" customHeight="1">
      <c r="A165" s="166"/>
      <c r="B165" s="166"/>
      <c r="C165" s="166"/>
      <c r="D165" s="166"/>
      <c r="E165" s="166"/>
      <c r="F165" s="166"/>
      <c r="G165" s="272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</row>
    <row r="166" ht="15.75" customHeight="1">
      <c r="A166" s="166"/>
      <c r="B166" s="166"/>
      <c r="C166" s="166"/>
      <c r="D166" s="166"/>
      <c r="E166" s="166"/>
      <c r="F166" s="166"/>
      <c r="G166" s="272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</row>
    <row r="167" ht="15.75" customHeight="1">
      <c r="A167" s="166"/>
      <c r="B167" s="166"/>
      <c r="C167" s="166"/>
      <c r="D167" s="166"/>
      <c r="E167" s="166"/>
      <c r="F167" s="166"/>
      <c r="G167" s="272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  <c r="AB167" s="166"/>
    </row>
    <row r="168" ht="15.75" customHeight="1">
      <c r="A168" s="166"/>
      <c r="B168" s="166"/>
      <c r="C168" s="166"/>
      <c r="D168" s="166"/>
      <c r="E168" s="166"/>
      <c r="F168" s="166"/>
      <c r="G168" s="272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  <c r="AB168" s="166"/>
    </row>
    <row r="169" ht="15.75" customHeight="1">
      <c r="A169" s="166"/>
      <c r="B169" s="166"/>
      <c r="C169" s="166"/>
      <c r="D169" s="166"/>
      <c r="E169" s="166"/>
      <c r="F169" s="166"/>
      <c r="G169" s="272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  <c r="AB169" s="166"/>
    </row>
    <row r="170" ht="15.75" customHeight="1">
      <c r="A170" s="166"/>
      <c r="B170" s="166"/>
      <c r="C170" s="166"/>
      <c r="D170" s="166"/>
      <c r="E170" s="166"/>
      <c r="F170" s="166"/>
      <c r="G170" s="272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  <c r="AB170" s="166"/>
    </row>
    <row r="171" ht="15.75" customHeight="1">
      <c r="A171" s="166"/>
      <c r="B171" s="166"/>
      <c r="C171" s="166"/>
      <c r="D171" s="166"/>
      <c r="E171" s="166"/>
      <c r="F171" s="166"/>
      <c r="G171" s="272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  <c r="AB171" s="166"/>
    </row>
    <row r="172" ht="15.75" customHeight="1">
      <c r="A172" s="166"/>
      <c r="B172" s="166"/>
      <c r="C172" s="166"/>
      <c r="D172" s="166"/>
      <c r="E172" s="166"/>
      <c r="F172" s="166"/>
      <c r="G172" s="272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  <c r="AB172" s="166"/>
    </row>
    <row r="173" ht="15.75" customHeight="1">
      <c r="A173" s="166"/>
      <c r="B173" s="166"/>
      <c r="C173" s="166"/>
      <c r="D173" s="166"/>
      <c r="E173" s="166"/>
      <c r="F173" s="166"/>
      <c r="G173" s="272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  <c r="AB173" s="166"/>
    </row>
    <row r="174" ht="15.75" customHeight="1">
      <c r="A174" s="166"/>
      <c r="B174" s="166"/>
      <c r="C174" s="166"/>
      <c r="D174" s="166"/>
      <c r="E174" s="166"/>
      <c r="F174" s="166"/>
      <c r="G174" s="272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  <c r="AB174" s="166"/>
    </row>
    <row r="175" ht="15.75" customHeight="1">
      <c r="A175" s="166"/>
      <c r="B175" s="166"/>
      <c r="C175" s="166"/>
      <c r="D175" s="166"/>
      <c r="E175" s="166"/>
      <c r="F175" s="166"/>
      <c r="G175" s="272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  <c r="AB175" s="166"/>
    </row>
    <row r="176" ht="15.75" customHeight="1">
      <c r="A176" s="166"/>
      <c r="B176" s="166"/>
      <c r="C176" s="166"/>
      <c r="D176" s="166"/>
      <c r="E176" s="166"/>
      <c r="F176" s="166"/>
      <c r="G176" s="272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  <c r="AB176" s="166"/>
    </row>
    <row r="177" ht="15.75" customHeight="1">
      <c r="A177" s="166"/>
      <c r="B177" s="166"/>
      <c r="C177" s="166"/>
      <c r="D177" s="166"/>
      <c r="E177" s="166"/>
      <c r="F177" s="166"/>
      <c r="G177" s="272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  <c r="AB177" s="166"/>
    </row>
    <row r="178" ht="15.75" customHeight="1">
      <c r="A178" s="166"/>
      <c r="B178" s="166"/>
      <c r="C178" s="166"/>
      <c r="D178" s="166"/>
      <c r="E178" s="166"/>
      <c r="F178" s="166"/>
      <c r="G178" s="272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  <c r="AB178" s="166"/>
    </row>
    <row r="179" ht="15.75" customHeight="1">
      <c r="A179" s="166"/>
      <c r="B179" s="166"/>
      <c r="C179" s="166"/>
      <c r="D179" s="166"/>
      <c r="E179" s="166"/>
      <c r="F179" s="166"/>
      <c r="G179" s="272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</row>
    <row r="180" ht="15.75" customHeight="1">
      <c r="A180" s="166"/>
      <c r="B180" s="166"/>
      <c r="C180" s="166"/>
      <c r="D180" s="166"/>
      <c r="E180" s="166"/>
      <c r="F180" s="166"/>
      <c r="G180" s="272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  <c r="AB180" s="166"/>
    </row>
    <row r="181" ht="15.75" customHeight="1">
      <c r="A181" s="166"/>
      <c r="B181" s="166"/>
      <c r="C181" s="166"/>
      <c r="D181" s="166"/>
      <c r="E181" s="166"/>
      <c r="F181" s="166"/>
      <c r="G181" s="272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  <c r="AB181" s="166"/>
    </row>
    <row r="182" ht="15.75" customHeight="1">
      <c r="A182" s="166"/>
      <c r="B182" s="166"/>
      <c r="C182" s="166"/>
      <c r="D182" s="166"/>
      <c r="E182" s="166"/>
      <c r="F182" s="166"/>
      <c r="G182" s="272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  <c r="AB182" s="166"/>
    </row>
    <row r="183" ht="15.75" customHeight="1">
      <c r="A183" s="166"/>
      <c r="B183" s="166"/>
      <c r="C183" s="166"/>
      <c r="D183" s="166"/>
      <c r="E183" s="166"/>
      <c r="F183" s="166"/>
      <c r="G183" s="272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  <c r="AB183" s="166"/>
    </row>
    <row r="184" ht="15.75" customHeight="1">
      <c r="A184" s="166"/>
      <c r="B184" s="166"/>
      <c r="C184" s="166"/>
      <c r="D184" s="166"/>
      <c r="E184" s="166"/>
      <c r="F184" s="166"/>
      <c r="G184" s="272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  <c r="AB184" s="166"/>
    </row>
    <row r="185" ht="15.75" customHeight="1">
      <c r="A185" s="166"/>
      <c r="B185" s="166"/>
      <c r="C185" s="166"/>
      <c r="D185" s="166"/>
      <c r="E185" s="166"/>
      <c r="F185" s="166"/>
      <c r="G185" s="272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  <c r="AB185" s="166"/>
    </row>
    <row r="186" ht="15.75" customHeight="1">
      <c r="A186" s="166"/>
      <c r="B186" s="166"/>
      <c r="C186" s="166"/>
      <c r="D186" s="166"/>
      <c r="E186" s="166"/>
      <c r="F186" s="166"/>
      <c r="G186" s="272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  <c r="AB186" s="166"/>
    </row>
    <row r="187" ht="15.75" customHeight="1">
      <c r="A187" s="166"/>
      <c r="B187" s="166"/>
      <c r="C187" s="166"/>
      <c r="D187" s="166"/>
      <c r="E187" s="166"/>
      <c r="F187" s="166"/>
      <c r="G187" s="272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  <c r="AB187" s="166"/>
    </row>
    <row r="188" ht="15.75" customHeight="1">
      <c r="A188" s="166"/>
      <c r="B188" s="166"/>
      <c r="C188" s="166"/>
      <c r="D188" s="166"/>
      <c r="E188" s="166"/>
      <c r="F188" s="166"/>
      <c r="G188" s="272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  <c r="AB188" s="166"/>
    </row>
    <row r="189" ht="15.75" customHeight="1">
      <c r="A189" s="166"/>
      <c r="B189" s="166"/>
      <c r="C189" s="166"/>
      <c r="D189" s="166"/>
      <c r="E189" s="166"/>
      <c r="F189" s="166"/>
      <c r="G189" s="272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  <c r="AB189" s="166"/>
    </row>
    <row r="190" ht="15.75" customHeight="1">
      <c r="A190" s="166"/>
      <c r="B190" s="166"/>
      <c r="C190" s="166"/>
      <c r="D190" s="166"/>
      <c r="E190" s="166"/>
      <c r="F190" s="166"/>
      <c r="G190" s="272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  <c r="AB190" s="166"/>
    </row>
    <row r="191" ht="15.75" customHeight="1">
      <c r="A191" s="166"/>
      <c r="B191" s="166"/>
      <c r="C191" s="166"/>
      <c r="D191" s="166"/>
      <c r="E191" s="166"/>
      <c r="F191" s="166"/>
      <c r="G191" s="272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  <c r="AB191" s="166"/>
    </row>
    <row r="192" ht="15.75" customHeight="1">
      <c r="A192" s="166"/>
      <c r="B192" s="166"/>
      <c r="C192" s="166"/>
      <c r="D192" s="166"/>
      <c r="E192" s="166"/>
      <c r="F192" s="166"/>
      <c r="G192" s="272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  <c r="AB192" s="166"/>
    </row>
    <row r="193" ht="15.75" customHeight="1">
      <c r="A193" s="166"/>
      <c r="B193" s="166"/>
      <c r="C193" s="166"/>
      <c r="D193" s="166"/>
      <c r="E193" s="166"/>
      <c r="F193" s="166"/>
      <c r="G193" s="272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  <c r="AB193" s="166"/>
    </row>
    <row r="194" ht="15.75" customHeight="1">
      <c r="A194" s="166"/>
      <c r="B194" s="166"/>
      <c r="C194" s="166"/>
      <c r="D194" s="166"/>
      <c r="E194" s="166"/>
      <c r="F194" s="166"/>
      <c r="G194" s="272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  <c r="AB194" s="166"/>
    </row>
    <row r="195" ht="15.75" customHeight="1">
      <c r="A195" s="166"/>
      <c r="B195" s="166"/>
      <c r="C195" s="166"/>
      <c r="D195" s="166"/>
      <c r="E195" s="166"/>
      <c r="F195" s="166"/>
      <c r="G195" s="272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  <c r="AB195" s="166"/>
    </row>
    <row r="196" ht="15.75" customHeight="1">
      <c r="A196" s="166"/>
      <c r="B196" s="166"/>
      <c r="C196" s="166"/>
      <c r="D196" s="166"/>
      <c r="E196" s="166"/>
      <c r="F196" s="166"/>
      <c r="G196" s="272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  <c r="AB196" s="166"/>
    </row>
    <row r="197" ht="15.75" customHeight="1">
      <c r="A197" s="166"/>
      <c r="B197" s="166"/>
      <c r="C197" s="166"/>
      <c r="D197" s="166"/>
      <c r="E197" s="166"/>
      <c r="F197" s="166"/>
      <c r="G197" s="272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  <c r="AB197" s="166"/>
    </row>
    <row r="198" ht="15.75" customHeight="1">
      <c r="A198" s="166"/>
      <c r="B198" s="166"/>
      <c r="C198" s="166"/>
      <c r="D198" s="166"/>
      <c r="E198" s="166"/>
      <c r="F198" s="166"/>
      <c r="G198" s="272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</row>
    <row r="199" ht="15.75" customHeight="1">
      <c r="A199" s="166"/>
      <c r="B199" s="166"/>
      <c r="C199" s="166"/>
      <c r="D199" s="166"/>
      <c r="E199" s="166"/>
      <c r="F199" s="166"/>
      <c r="G199" s="272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  <c r="AB199" s="166"/>
    </row>
    <row r="200" ht="15.75" customHeight="1">
      <c r="A200" s="166"/>
      <c r="B200" s="166"/>
      <c r="C200" s="166"/>
      <c r="D200" s="166"/>
      <c r="E200" s="166"/>
      <c r="F200" s="166"/>
      <c r="G200" s="272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  <c r="AB200" s="166"/>
    </row>
    <row r="201" ht="15.75" customHeight="1">
      <c r="A201" s="166"/>
      <c r="B201" s="166"/>
      <c r="C201" s="166"/>
      <c r="D201" s="166"/>
      <c r="E201" s="166"/>
      <c r="F201" s="166"/>
      <c r="G201" s="272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  <c r="AB201" s="166"/>
    </row>
    <row r="202" ht="15.75" customHeight="1">
      <c r="A202" s="166"/>
      <c r="B202" s="166"/>
      <c r="C202" s="166"/>
      <c r="D202" s="166"/>
      <c r="E202" s="166"/>
      <c r="F202" s="166"/>
      <c r="G202" s="272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  <c r="AB202" s="166"/>
    </row>
    <row r="203" ht="15.75" customHeight="1">
      <c r="A203" s="166"/>
      <c r="B203" s="166"/>
      <c r="C203" s="166"/>
      <c r="D203" s="166"/>
      <c r="E203" s="166"/>
      <c r="F203" s="166"/>
      <c r="G203" s="272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  <c r="AB203" s="166"/>
    </row>
    <row r="204" ht="15.75" customHeight="1">
      <c r="A204" s="166"/>
      <c r="B204" s="166"/>
      <c r="C204" s="166"/>
      <c r="D204" s="166"/>
      <c r="E204" s="166"/>
      <c r="F204" s="166"/>
      <c r="G204" s="272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  <c r="AB204" s="166"/>
    </row>
    <row r="205" ht="15.75" customHeight="1">
      <c r="A205" s="166"/>
      <c r="B205" s="166"/>
      <c r="C205" s="166"/>
      <c r="D205" s="166"/>
      <c r="E205" s="166"/>
      <c r="F205" s="166"/>
      <c r="G205" s="272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  <c r="AB205" s="166"/>
    </row>
    <row r="206" ht="15.75" customHeight="1">
      <c r="A206" s="166"/>
      <c r="B206" s="166"/>
      <c r="C206" s="166"/>
      <c r="D206" s="166"/>
      <c r="E206" s="166"/>
      <c r="F206" s="166"/>
      <c r="G206" s="272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  <c r="AB206" s="166"/>
    </row>
    <row r="207" ht="15.75" customHeight="1">
      <c r="A207" s="166"/>
      <c r="B207" s="166"/>
      <c r="C207" s="166"/>
      <c r="D207" s="166"/>
      <c r="E207" s="166"/>
      <c r="F207" s="166"/>
      <c r="G207" s="272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  <c r="AB207" s="166"/>
    </row>
    <row r="208" ht="15.75" customHeight="1">
      <c r="A208" s="166"/>
      <c r="B208" s="166"/>
      <c r="C208" s="166"/>
      <c r="D208" s="166"/>
      <c r="E208" s="166"/>
      <c r="F208" s="166"/>
      <c r="G208" s="272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  <c r="AB208" s="166"/>
    </row>
    <row r="209" ht="15.75" customHeight="1">
      <c r="A209" s="166"/>
      <c r="B209" s="166"/>
      <c r="C209" s="166"/>
      <c r="D209" s="166"/>
      <c r="E209" s="166"/>
      <c r="F209" s="166"/>
      <c r="G209" s="272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  <c r="AB209" s="166"/>
    </row>
    <row r="210" ht="15.75" customHeight="1">
      <c r="A210" s="166"/>
      <c r="B210" s="166"/>
      <c r="C210" s="166"/>
      <c r="D210" s="166"/>
      <c r="E210" s="166"/>
      <c r="F210" s="166"/>
      <c r="G210" s="272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  <c r="AB210" s="166"/>
    </row>
    <row r="211" ht="15.75" customHeight="1">
      <c r="A211" s="166"/>
      <c r="B211" s="166"/>
      <c r="C211" s="166"/>
      <c r="D211" s="166"/>
      <c r="E211" s="166"/>
      <c r="F211" s="166"/>
      <c r="G211" s="272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  <c r="AB211" s="166"/>
    </row>
    <row r="212" ht="15.75" customHeight="1">
      <c r="A212" s="166"/>
      <c r="B212" s="166"/>
      <c r="C212" s="166"/>
      <c r="D212" s="166"/>
      <c r="E212" s="166"/>
      <c r="F212" s="166"/>
      <c r="G212" s="272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</row>
    <row r="213" ht="15.75" customHeight="1">
      <c r="A213" s="166"/>
      <c r="B213" s="166"/>
      <c r="C213" s="166"/>
      <c r="D213" s="166"/>
      <c r="E213" s="166"/>
      <c r="F213" s="166"/>
      <c r="G213" s="272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  <c r="AB213" s="166"/>
    </row>
    <row r="214" ht="15.75" customHeight="1">
      <c r="A214" s="166"/>
      <c r="B214" s="166"/>
      <c r="C214" s="166"/>
      <c r="D214" s="166"/>
      <c r="E214" s="166"/>
      <c r="F214" s="166"/>
      <c r="G214" s="272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  <c r="AB214" s="166"/>
    </row>
    <row r="215" ht="15.75" customHeight="1">
      <c r="A215" s="166"/>
      <c r="B215" s="166"/>
      <c r="C215" s="166"/>
      <c r="D215" s="166"/>
      <c r="E215" s="166"/>
      <c r="F215" s="166"/>
      <c r="G215" s="272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  <c r="AB215" s="166"/>
    </row>
    <row r="216" ht="15.75" customHeight="1">
      <c r="A216" s="166"/>
      <c r="B216" s="166"/>
      <c r="C216" s="166"/>
      <c r="D216" s="166"/>
      <c r="E216" s="166"/>
      <c r="F216" s="166"/>
      <c r="G216" s="272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  <c r="AB216" s="166"/>
    </row>
    <row r="217" ht="15.75" customHeight="1">
      <c r="A217" s="166"/>
      <c r="B217" s="166"/>
      <c r="C217" s="166"/>
      <c r="D217" s="166"/>
      <c r="E217" s="166"/>
      <c r="F217" s="166"/>
      <c r="G217" s="272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  <c r="AB217" s="166"/>
    </row>
    <row r="218" ht="15.75" customHeight="1">
      <c r="A218" s="166"/>
      <c r="B218" s="166"/>
      <c r="C218" s="166"/>
      <c r="D218" s="166"/>
      <c r="E218" s="166"/>
      <c r="F218" s="166"/>
      <c r="G218" s="272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  <c r="AB218" s="166"/>
    </row>
    <row r="219" ht="15.75" customHeight="1">
      <c r="A219" s="166"/>
      <c r="B219" s="166"/>
      <c r="C219" s="166"/>
      <c r="D219" s="166"/>
      <c r="E219" s="166"/>
      <c r="F219" s="166"/>
      <c r="G219" s="272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  <c r="AB219" s="166"/>
    </row>
    <row r="220" ht="15.75" customHeight="1">
      <c r="A220" s="166"/>
      <c r="B220" s="166"/>
      <c r="C220" s="166"/>
      <c r="D220" s="166"/>
      <c r="E220" s="166"/>
      <c r="F220" s="166"/>
      <c r="G220" s="272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Q221" s="7"/>
      <c r="U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Q222" s="7"/>
      <c r="U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Q223" s="7"/>
      <c r="U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Q224" s="7"/>
      <c r="U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Q225" s="7"/>
      <c r="U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Q226" s="7"/>
      <c r="U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Q227" s="7"/>
      <c r="U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Q228" s="7"/>
      <c r="U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Q229" s="7"/>
      <c r="U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Q230" s="7"/>
      <c r="U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Q231" s="7"/>
      <c r="U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Q232" s="7"/>
      <c r="U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Q233" s="7"/>
      <c r="U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Q234" s="7"/>
      <c r="U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Q235" s="7"/>
      <c r="U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Q236" s="7"/>
      <c r="U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Q237" s="7"/>
      <c r="U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Q238" s="7"/>
      <c r="U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Q239" s="7"/>
      <c r="U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Q240" s="7"/>
      <c r="U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Q241" s="7"/>
      <c r="U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Q242" s="7"/>
      <c r="U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Q243" s="7"/>
      <c r="U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Q244" s="7"/>
      <c r="U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Q245" s="7"/>
      <c r="U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Q246" s="7"/>
      <c r="U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Q247" s="7"/>
      <c r="U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Q248" s="7"/>
      <c r="U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Q249" s="7"/>
      <c r="U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Q250" s="7"/>
      <c r="U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Q251" s="7"/>
      <c r="U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Q252" s="7"/>
      <c r="U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Q253" s="7"/>
      <c r="U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Q254" s="7"/>
      <c r="U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Q255" s="7"/>
      <c r="U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Q256" s="7"/>
      <c r="U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Q257" s="7"/>
      <c r="U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Q258" s="7"/>
      <c r="U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Q259" s="7"/>
      <c r="U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Q260" s="7"/>
      <c r="U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Q261" s="7"/>
      <c r="U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Q262" s="7"/>
      <c r="U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Q263" s="7"/>
      <c r="U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Q264" s="7"/>
      <c r="U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Q265" s="7"/>
      <c r="U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Q266" s="7"/>
      <c r="U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Q267" s="7"/>
      <c r="U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Q268" s="7"/>
      <c r="U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Q269" s="7"/>
      <c r="U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Q270" s="7"/>
      <c r="U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Q271" s="7"/>
      <c r="U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Q272" s="7"/>
      <c r="U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Q273" s="7"/>
      <c r="U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Q274" s="7"/>
      <c r="U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Q275" s="7"/>
      <c r="U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Q276" s="7"/>
      <c r="U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Q277" s="7"/>
      <c r="U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Q278" s="7"/>
      <c r="U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Q279" s="7"/>
      <c r="U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Q280" s="7"/>
      <c r="U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Q281" s="7"/>
      <c r="U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Q282" s="7"/>
      <c r="U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Q283" s="7"/>
      <c r="U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Q284" s="7"/>
      <c r="U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Q285" s="7"/>
      <c r="U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Q286" s="7"/>
      <c r="U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Q287" s="7"/>
      <c r="U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Q288" s="7"/>
      <c r="U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Q289" s="7"/>
      <c r="U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Q290" s="7"/>
      <c r="U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Q291" s="7"/>
      <c r="U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Q292" s="7"/>
      <c r="U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Q293" s="7"/>
      <c r="U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Q294" s="7"/>
      <c r="U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Q295" s="7"/>
      <c r="U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Q296" s="7"/>
      <c r="U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Q297" s="7"/>
      <c r="U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Q298" s="7"/>
      <c r="U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Q299" s="7"/>
      <c r="U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Q300" s="7"/>
      <c r="U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Q301" s="7"/>
      <c r="U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Q302" s="7"/>
      <c r="U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Q303" s="7"/>
      <c r="U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Q304" s="7"/>
      <c r="U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Q305" s="7"/>
      <c r="U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Q306" s="7"/>
      <c r="U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Q307" s="7"/>
      <c r="U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Q308" s="7"/>
      <c r="U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Q309" s="7"/>
      <c r="U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Q310" s="7"/>
      <c r="U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Q311" s="7"/>
      <c r="U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Q312" s="7"/>
      <c r="U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Q313" s="7"/>
      <c r="U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Q314" s="7"/>
      <c r="U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Q315" s="7"/>
      <c r="U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Q316" s="7"/>
      <c r="U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Q317" s="7"/>
      <c r="U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Q318" s="7"/>
      <c r="U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Q319" s="7"/>
      <c r="U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Q320" s="7"/>
      <c r="U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Q321" s="7"/>
      <c r="U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Q322" s="7"/>
      <c r="U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Q323" s="7"/>
      <c r="U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Q324" s="7"/>
      <c r="U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Q325" s="7"/>
      <c r="U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Q326" s="7"/>
      <c r="U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Q327" s="7"/>
      <c r="U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Q328" s="7"/>
      <c r="U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Q329" s="7"/>
      <c r="U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Q330" s="7"/>
      <c r="U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Q331" s="7"/>
      <c r="U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Q332" s="7"/>
      <c r="U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Q333" s="7"/>
      <c r="U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Q334" s="7"/>
      <c r="U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Q335" s="7"/>
      <c r="U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Q336" s="7"/>
      <c r="U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Q337" s="7"/>
      <c r="U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Q338" s="7"/>
      <c r="U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Q339" s="7"/>
      <c r="U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Q340" s="7"/>
      <c r="U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Q341" s="7"/>
      <c r="U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Q342" s="7"/>
      <c r="U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Q343" s="7"/>
      <c r="U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Q344" s="7"/>
      <c r="U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Q345" s="7"/>
      <c r="U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Q346" s="7"/>
      <c r="U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Q347" s="7"/>
      <c r="U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Q348" s="7"/>
      <c r="U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Q349" s="7"/>
      <c r="U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Q350" s="7"/>
      <c r="U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Q351" s="7"/>
      <c r="U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Q352" s="7"/>
      <c r="U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Q353" s="7"/>
      <c r="U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Q354" s="7"/>
      <c r="U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Q355" s="7"/>
      <c r="U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Q356" s="7"/>
      <c r="U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Q357" s="7"/>
      <c r="U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Q358" s="7"/>
      <c r="U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Q359" s="7"/>
      <c r="U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Q360" s="7"/>
      <c r="U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Q361" s="7"/>
      <c r="U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Q362" s="7"/>
      <c r="U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Q363" s="7"/>
      <c r="U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Q364" s="7"/>
      <c r="U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Q365" s="7"/>
      <c r="U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Q366" s="7"/>
      <c r="U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Q367" s="7"/>
      <c r="U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Q368" s="7"/>
      <c r="U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Q369" s="7"/>
      <c r="U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Q370" s="7"/>
      <c r="U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Q371" s="7"/>
      <c r="U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Q372" s="7"/>
      <c r="U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Q373" s="7"/>
      <c r="U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Q374" s="7"/>
      <c r="U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Q375" s="7"/>
      <c r="U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Q376" s="7"/>
      <c r="U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Q377" s="7"/>
      <c r="U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Q378" s="7"/>
      <c r="U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Q379" s="7"/>
      <c r="U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Q380" s="7"/>
      <c r="U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Q381" s="7"/>
      <c r="U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Q382" s="7"/>
      <c r="U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Q383" s="7"/>
      <c r="U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Q384" s="7"/>
      <c r="U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Q385" s="7"/>
      <c r="U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Q386" s="7"/>
      <c r="U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Q387" s="7"/>
      <c r="U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Q388" s="7"/>
      <c r="U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Q389" s="7"/>
      <c r="U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Q390" s="7"/>
      <c r="U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Q391" s="7"/>
      <c r="U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Q392" s="7"/>
      <c r="U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Q393" s="7"/>
      <c r="U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Q394" s="7"/>
      <c r="U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Q395" s="7"/>
      <c r="U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Q396" s="7"/>
      <c r="U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Q397" s="7"/>
      <c r="U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Q398" s="7"/>
      <c r="U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Q399" s="7"/>
      <c r="U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Q400" s="7"/>
      <c r="U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Q401" s="7"/>
      <c r="U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Q402" s="7"/>
      <c r="U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Q403" s="7"/>
      <c r="U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Q404" s="7"/>
      <c r="U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Q405" s="7"/>
      <c r="U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Q406" s="7"/>
      <c r="U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Q407" s="7"/>
      <c r="U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Q408" s="7"/>
      <c r="U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Q409" s="7"/>
      <c r="U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Q410" s="7"/>
      <c r="U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Q411" s="7"/>
      <c r="U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Q412" s="7"/>
      <c r="U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Q413" s="7"/>
      <c r="U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Q414" s="7"/>
      <c r="U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Q415" s="7"/>
      <c r="U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Q416" s="7"/>
      <c r="U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Q417" s="7"/>
      <c r="U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Q418" s="7"/>
      <c r="U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Q419" s="7"/>
      <c r="U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Q420" s="7"/>
      <c r="U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Q421" s="7"/>
      <c r="U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Q422" s="7"/>
      <c r="U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Q423" s="7"/>
      <c r="U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Q424" s="7"/>
      <c r="U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Q425" s="7"/>
      <c r="U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Q426" s="7"/>
      <c r="U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Q427" s="7"/>
      <c r="U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Q428" s="7"/>
      <c r="U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Q429" s="7"/>
      <c r="U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Q430" s="7"/>
      <c r="U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Q431" s="7"/>
      <c r="U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Q432" s="7"/>
      <c r="U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Q433" s="7"/>
      <c r="U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Q434" s="7"/>
      <c r="U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Q435" s="7"/>
      <c r="U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Q436" s="7"/>
      <c r="U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Q437" s="7"/>
      <c r="U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Q438" s="7"/>
      <c r="U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Q439" s="7"/>
      <c r="U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Q440" s="7"/>
      <c r="U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Q441" s="7"/>
      <c r="U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Q442" s="7"/>
      <c r="U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Q443" s="7"/>
      <c r="U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Q444" s="7"/>
      <c r="U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Q445" s="7"/>
      <c r="U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Q446" s="7"/>
      <c r="U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Q447" s="7"/>
      <c r="U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Q448" s="7"/>
      <c r="U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Q449" s="7"/>
      <c r="U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Q450" s="7"/>
      <c r="U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Q451" s="7"/>
      <c r="U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Q452" s="7"/>
      <c r="U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Q453" s="7"/>
      <c r="U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Q454" s="7"/>
      <c r="U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Q455" s="7"/>
      <c r="U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Q456" s="7"/>
      <c r="U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Q457" s="7"/>
      <c r="U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Q458" s="7"/>
      <c r="U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Q459" s="7"/>
      <c r="U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Q460" s="7"/>
      <c r="U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Q461" s="7"/>
      <c r="U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Q462" s="7"/>
      <c r="U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Q463" s="7"/>
      <c r="U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Q464" s="7"/>
      <c r="U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Q465" s="7"/>
      <c r="U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Q466" s="7"/>
      <c r="U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Q467" s="7"/>
      <c r="U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Q468" s="7"/>
      <c r="U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Q469" s="7"/>
      <c r="U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Q470" s="7"/>
      <c r="U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Q471" s="7"/>
      <c r="U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Q472" s="7"/>
      <c r="U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Q473" s="7"/>
      <c r="U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Q474" s="7"/>
      <c r="U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Q475" s="7"/>
      <c r="U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Q476" s="7"/>
      <c r="U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Q477" s="7"/>
      <c r="U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Q478" s="7"/>
      <c r="U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Q479" s="7"/>
      <c r="U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Q480" s="7"/>
      <c r="U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Q481" s="7"/>
      <c r="U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Q482" s="7"/>
      <c r="U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Q483" s="7"/>
      <c r="U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Q484" s="7"/>
      <c r="U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Q485" s="7"/>
      <c r="U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Q486" s="7"/>
      <c r="U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Q487" s="7"/>
      <c r="U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Q488" s="7"/>
      <c r="U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Q489" s="7"/>
      <c r="U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Q490" s="7"/>
      <c r="U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Q491" s="7"/>
      <c r="U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Q492" s="7"/>
      <c r="U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Q493" s="7"/>
      <c r="U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Q494" s="7"/>
      <c r="U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Q495" s="7"/>
      <c r="U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Q496" s="7"/>
      <c r="U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Q497" s="7"/>
      <c r="U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Q498" s="7"/>
      <c r="U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Q499" s="7"/>
      <c r="U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Q500" s="7"/>
      <c r="U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Q501" s="7"/>
      <c r="U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Q502" s="7"/>
      <c r="U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Q503" s="7"/>
      <c r="U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Q504" s="7"/>
      <c r="U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Q505" s="7"/>
      <c r="U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Q506" s="7"/>
      <c r="U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Q507" s="7"/>
      <c r="U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Q508" s="7"/>
      <c r="U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Q509" s="7"/>
      <c r="U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Q510" s="7"/>
      <c r="U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Q511" s="7"/>
      <c r="U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Q512" s="7"/>
      <c r="U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Q513" s="7"/>
      <c r="U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Q514" s="7"/>
      <c r="U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Q515" s="7"/>
      <c r="U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Q516" s="7"/>
      <c r="U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Q517" s="7"/>
      <c r="U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Q518" s="7"/>
      <c r="U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Q519" s="7"/>
      <c r="U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Q520" s="7"/>
      <c r="U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Q521" s="7"/>
      <c r="U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Q522" s="7"/>
      <c r="U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Q523" s="7"/>
      <c r="U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Q524" s="7"/>
      <c r="U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Q525" s="7"/>
      <c r="U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Q526" s="7"/>
      <c r="U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Q527" s="7"/>
      <c r="U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Q528" s="7"/>
      <c r="U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Q529" s="7"/>
      <c r="U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Q530" s="7"/>
      <c r="U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Q531" s="7"/>
      <c r="U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Q532" s="7"/>
      <c r="U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Q533" s="7"/>
      <c r="U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Q534" s="7"/>
      <c r="U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Q535" s="7"/>
      <c r="U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Q536" s="7"/>
      <c r="U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Q537" s="7"/>
      <c r="U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Q538" s="7"/>
      <c r="U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Q539" s="7"/>
      <c r="U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Q540" s="7"/>
      <c r="U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Q541" s="7"/>
      <c r="U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Q542" s="7"/>
      <c r="U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Q543" s="7"/>
      <c r="U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Q544" s="7"/>
      <c r="U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Q545" s="7"/>
      <c r="U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Q546" s="7"/>
      <c r="U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Q547" s="7"/>
      <c r="U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Q548" s="7"/>
      <c r="U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Q549" s="7"/>
      <c r="U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Q550" s="7"/>
      <c r="U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Q551" s="7"/>
      <c r="U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Q552" s="7"/>
      <c r="U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Q553" s="7"/>
      <c r="U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Q554" s="7"/>
      <c r="U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Q555" s="7"/>
      <c r="U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Q556" s="7"/>
      <c r="U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Q557" s="7"/>
      <c r="U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Q558" s="7"/>
      <c r="U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Q559" s="7"/>
      <c r="U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Q560" s="7"/>
      <c r="U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Q561" s="7"/>
      <c r="U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Q562" s="7"/>
      <c r="U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Q563" s="7"/>
      <c r="U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Q564" s="7"/>
      <c r="U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Q565" s="7"/>
      <c r="U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Q566" s="7"/>
      <c r="U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Q567" s="7"/>
      <c r="U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Q568" s="7"/>
      <c r="U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Q569" s="7"/>
      <c r="U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Q570" s="7"/>
      <c r="U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Q571" s="7"/>
      <c r="U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Q572" s="7"/>
      <c r="U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Q573" s="7"/>
      <c r="U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Q574" s="7"/>
      <c r="U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Q575" s="7"/>
      <c r="U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Q576" s="7"/>
      <c r="U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Q577" s="7"/>
      <c r="U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Q578" s="7"/>
      <c r="U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Q579" s="7"/>
      <c r="U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Q580" s="7"/>
      <c r="U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Q581" s="7"/>
      <c r="U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Q582" s="7"/>
      <c r="U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Q583" s="7"/>
      <c r="U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Q584" s="7"/>
      <c r="U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Q585" s="7"/>
      <c r="U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Q586" s="7"/>
      <c r="U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Q587" s="7"/>
      <c r="U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Q588" s="7"/>
      <c r="U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Q589" s="7"/>
      <c r="U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Q590" s="7"/>
      <c r="U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Q591" s="7"/>
      <c r="U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Q592" s="7"/>
      <c r="U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Q593" s="7"/>
      <c r="U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Q594" s="7"/>
      <c r="U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Q595" s="7"/>
      <c r="U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Q596" s="7"/>
      <c r="U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Q597" s="7"/>
      <c r="U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Q598" s="7"/>
      <c r="U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Q599" s="7"/>
      <c r="U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Q600" s="7"/>
      <c r="U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Q601" s="7"/>
      <c r="U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Q602" s="7"/>
      <c r="U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Q603" s="7"/>
      <c r="U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Q604" s="7"/>
      <c r="U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Q605" s="7"/>
      <c r="U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Q606" s="7"/>
      <c r="U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Q607" s="7"/>
      <c r="U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Q608" s="7"/>
      <c r="U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Q609" s="7"/>
      <c r="U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Q610" s="7"/>
      <c r="U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Q611" s="7"/>
      <c r="U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Q612" s="7"/>
      <c r="U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Q613" s="7"/>
      <c r="U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Q614" s="7"/>
      <c r="U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Q615" s="7"/>
      <c r="U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Q616" s="7"/>
      <c r="U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Q617" s="7"/>
      <c r="U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Q618" s="7"/>
      <c r="U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Q619" s="7"/>
      <c r="U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Q620" s="7"/>
      <c r="U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Q621" s="7"/>
      <c r="U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Q622" s="7"/>
      <c r="U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Q623" s="7"/>
      <c r="U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Q624" s="7"/>
      <c r="U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Q625" s="7"/>
      <c r="U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Q626" s="7"/>
      <c r="U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Q627" s="7"/>
      <c r="U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Q628" s="7"/>
      <c r="U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Q629" s="7"/>
      <c r="U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Q630" s="7"/>
      <c r="U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Q631" s="7"/>
      <c r="U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Q632" s="7"/>
      <c r="U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Q633" s="7"/>
      <c r="U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Q634" s="7"/>
      <c r="U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Q635" s="7"/>
      <c r="U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Q636" s="7"/>
      <c r="U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Q637" s="7"/>
      <c r="U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Q638" s="7"/>
      <c r="U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Q639" s="7"/>
      <c r="U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Q640" s="7"/>
      <c r="U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Q641" s="7"/>
      <c r="U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Q642" s="7"/>
      <c r="U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Q643" s="7"/>
      <c r="U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Q644" s="7"/>
      <c r="U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Q645" s="7"/>
      <c r="U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Q646" s="7"/>
      <c r="U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Q647" s="7"/>
      <c r="U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Q648" s="7"/>
      <c r="U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Q649" s="7"/>
      <c r="U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Q650" s="7"/>
      <c r="U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Q651" s="7"/>
      <c r="U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Q652" s="7"/>
      <c r="U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Q653" s="7"/>
      <c r="U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Q654" s="7"/>
      <c r="U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Q655" s="7"/>
      <c r="U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Q656" s="7"/>
      <c r="U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Q657" s="7"/>
      <c r="U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Q658" s="7"/>
      <c r="U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Q659" s="7"/>
      <c r="U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Q660" s="7"/>
      <c r="U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Q661" s="7"/>
      <c r="U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Q662" s="7"/>
      <c r="U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Q663" s="7"/>
      <c r="U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Q664" s="7"/>
      <c r="U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Q665" s="7"/>
      <c r="U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Q666" s="7"/>
      <c r="U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Q667" s="7"/>
      <c r="U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Q668" s="7"/>
      <c r="U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Q669" s="7"/>
      <c r="U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Q670" s="7"/>
      <c r="U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Q671" s="7"/>
      <c r="U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Q672" s="7"/>
      <c r="U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Q673" s="7"/>
      <c r="U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Q674" s="7"/>
      <c r="U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Q675" s="7"/>
      <c r="U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Q676" s="7"/>
      <c r="U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Q677" s="7"/>
      <c r="U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Q678" s="7"/>
      <c r="U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Q679" s="7"/>
      <c r="U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Q680" s="7"/>
      <c r="U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Q681" s="7"/>
      <c r="U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Q682" s="7"/>
      <c r="U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Q683" s="7"/>
      <c r="U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Q684" s="7"/>
      <c r="U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Q685" s="7"/>
      <c r="U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Q686" s="7"/>
      <c r="U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Q687" s="7"/>
      <c r="U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Q688" s="7"/>
      <c r="U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Q689" s="7"/>
      <c r="U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Q690" s="7"/>
      <c r="U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Q691" s="7"/>
      <c r="U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Q692" s="7"/>
      <c r="U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Q693" s="7"/>
      <c r="U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Q694" s="7"/>
      <c r="U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Q695" s="7"/>
      <c r="U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Q696" s="7"/>
      <c r="U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Q697" s="7"/>
      <c r="U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Q698" s="7"/>
      <c r="U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Q699" s="7"/>
      <c r="U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Q700" s="7"/>
      <c r="U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Q701" s="7"/>
      <c r="U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Q702" s="7"/>
      <c r="U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Q703" s="7"/>
      <c r="U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Q704" s="7"/>
      <c r="U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Q705" s="7"/>
      <c r="U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Q706" s="7"/>
      <c r="U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Q707" s="7"/>
      <c r="U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Q708" s="7"/>
      <c r="U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Q709" s="7"/>
      <c r="U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Q710" s="7"/>
      <c r="U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Q711" s="7"/>
      <c r="U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Q712" s="7"/>
      <c r="U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Q713" s="7"/>
      <c r="U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Q714" s="7"/>
      <c r="U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Q715" s="7"/>
      <c r="U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Q716" s="7"/>
      <c r="U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Q717" s="7"/>
      <c r="U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Q718" s="7"/>
      <c r="U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Q719" s="7"/>
      <c r="U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Q720" s="7"/>
      <c r="U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Q721" s="7"/>
      <c r="U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Q722" s="7"/>
      <c r="U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Q723" s="7"/>
      <c r="U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Q724" s="7"/>
      <c r="U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Q725" s="7"/>
      <c r="U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Q726" s="7"/>
      <c r="U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Q727" s="7"/>
      <c r="U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Q728" s="7"/>
      <c r="U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Q729" s="7"/>
      <c r="U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Q730" s="7"/>
      <c r="U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Q731" s="7"/>
      <c r="U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Q732" s="7"/>
      <c r="U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Q733" s="7"/>
      <c r="U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Q734" s="7"/>
      <c r="U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Q735" s="7"/>
      <c r="U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Q736" s="7"/>
      <c r="U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Q737" s="7"/>
      <c r="U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Q738" s="7"/>
      <c r="U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Q739" s="7"/>
      <c r="U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Q740" s="7"/>
      <c r="U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Q741" s="7"/>
      <c r="U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Q742" s="7"/>
      <c r="U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Q743" s="7"/>
      <c r="U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Q744" s="7"/>
      <c r="U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Q745" s="7"/>
      <c r="U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Q746" s="7"/>
      <c r="U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Q747" s="7"/>
      <c r="U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Q748" s="7"/>
      <c r="U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Q749" s="7"/>
      <c r="U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Q750" s="7"/>
      <c r="U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Q751" s="7"/>
      <c r="U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Q752" s="7"/>
      <c r="U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Q753" s="7"/>
      <c r="U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Q754" s="7"/>
      <c r="U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Q755" s="7"/>
      <c r="U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Q756" s="7"/>
      <c r="U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Q757" s="7"/>
      <c r="U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Q758" s="7"/>
      <c r="U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Q759" s="7"/>
      <c r="U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Q760" s="7"/>
      <c r="U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Q761" s="7"/>
      <c r="U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Q762" s="7"/>
      <c r="U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Q763" s="7"/>
      <c r="U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Q764" s="7"/>
      <c r="U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Q765" s="7"/>
      <c r="U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Q766" s="7"/>
      <c r="U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Q767" s="7"/>
      <c r="U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Q768" s="7"/>
      <c r="U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Q769" s="7"/>
      <c r="U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Q770" s="7"/>
      <c r="U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Q771" s="7"/>
      <c r="U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Q772" s="7"/>
      <c r="U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Q773" s="7"/>
      <c r="U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Q774" s="7"/>
      <c r="U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Q775" s="7"/>
      <c r="U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Q776" s="7"/>
      <c r="U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Q777" s="7"/>
      <c r="U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Q778" s="7"/>
      <c r="U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Q779" s="7"/>
      <c r="U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Q780" s="7"/>
      <c r="U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Q781" s="7"/>
      <c r="U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Q782" s="7"/>
      <c r="U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Q783" s="7"/>
      <c r="U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Q784" s="7"/>
      <c r="U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Q785" s="7"/>
      <c r="U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Q786" s="7"/>
      <c r="U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Q787" s="7"/>
      <c r="U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Q788" s="7"/>
      <c r="U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Q789" s="7"/>
      <c r="U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Q790" s="7"/>
      <c r="U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Q791" s="7"/>
      <c r="U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Q792" s="7"/>
      <c r="U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Q793" s="7"/>
      <c r="U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Q794" s="7"/>
      <c r="U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Q795" s="7"/>
      <c r="U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Q796" s="7"/>
      <c r="U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Q797" s="7"/>
      <c r="U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Q798" s="7"/>
      <c r="U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Q799" s="7"/>
      <c r="U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Q800" s="7"/>
      <c r="U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Q801" s="7"/>
      <c r="U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Q802" s="7"/>
      <c r="U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Q803" s="7"/>
      <c r="U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Q804" s="7"/>
      <c r="U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Q805" s="7"/>
      <c r="U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Q806" s="7"/>
      <c r="U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Q807" s="7"/>
      <c r="U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Q808" s="7"/>
      <c r="U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Q809" s="7"/>
      <c r="U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Q810" s="7"/>
      <c r="U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Q811" s="7"/>
      <c r="U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Q812" s="7"/>
      <c r="U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Q813" s="7"/>
      <c r="U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Q814" s="7"/>
      <c r="U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Q815" s="7"/>
      <c r="U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Q816" s="7"/>
      <c r="U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Q817" s="7"/>
      <c r="U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Q818" s="7"/>
      <c r="U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Q819" s="7"/>
      <c r="U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Q820" s="7"/>
      <c r="U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Q821" s="7"/>
      <c r="U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Q822" s="7"/>
      <c r="U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Q823" s="7"/>
      <c r="U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Q824" s="7"/>
      <c r="U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Q825" s="7"/>
      <c r="U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Q826" s="7"/>
      <c r="U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Q827" s="7"/>
      <c r="U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Q828" s="7"/>
      <c r="U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Q829" s="7"/>
      <c r="U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Q830" s="7"/>
      <c r="U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Q831" s="7"/>
      <c r="U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Q832" s="7"/>
      <c r="U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Q833" s="7"/>
      <c r="U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Q834" s="7"/>
      <c r="U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Q835" s="7"/>
      <c r="U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Q836" s="7"/>
      <c r="U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Q837" s="7"/>
      <c r="U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Q838" s="7"/>
      <c r="U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Q839" s="7"/>
      <c r="U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Q840" s="7"/>
      <c r="U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Q841" s="7"/>
      <c r="U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Q842" s="7"/>
      <c r="U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Q843" s="7"/>
      <c r="U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Q844" s="7"/>
      <c r="U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Q845" s="7"/>
      <c r="U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Q846" s="7"/>
      <c r="U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Q847" s="7"/>
      <c r="U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Q848" s="7"/>
      <c r="U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Q849" s="7"/>
      <c r="U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Q850" s="7"/>
      <c r="U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Q851" s="7"/>
      <c r="U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Q852" s="7"/>
      <c r="U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Q853" s="7"/>
      <c r="U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Q854" s="7"/>
      <c r="U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Q855" s="7"/>
      <c r="U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Q856" s="7"/>
      <c r="U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Q857" s="7"/>
      <c r="U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Q858" s="7"/>
      <c r="U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Q859" s="7"/>
      <c r="U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Q860" s="7"/>
      <c r="U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Q861" s="7"/>
      <c r="U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Q862" s="7"/>
      <c r="U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Q863" s="7"/>
      <c r="U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Q864" s="7"/>
      <c r="U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Q865" s="7"/>
      <c r="U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Q866" s="7"/>
      <c r="U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Q867" s="7"/>
      <c r="U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Q868" s="7"/>
      <c r="U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Q869" s="7"/>
      <c r="U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Q870" s="7"/>
      <c r="U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Q871" s="7"/>
      <c r="U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Q872" s="7"/>
      <c r="U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Q873" s="7"/>
      <c r="U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Q874" s="7"/>
      <c r="U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Q875" s="7"/>
      <c r="U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Q876" s="7"/>
      <c r="U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Q877" s="7"/>
      <c r="U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Q878" s="7"/>
      <c r="U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Q879" s="7"/>
      <c r="U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Q880" s="7"/>
      <c r="U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Q881" s="7"/>
      <c r="U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Q882" s="7"/>
      <c r="U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Q883" s="7"/>
      <c r="U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Q884" s="7"/>
      <c r="U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Q885" s="7"/>
      <c r="U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Q886" s="7"/>
      <c r="U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Q887" s="7"/>
      <c r="U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Q888" s="7"/>
      <c r="U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Q889" s="7"/>
      <c r="U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Q890" s="7"/>
      <c r="U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Q891" s="7"/>
      <c r="U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Q892" s="7"/>
      <c r="U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Q893" s="7"/>
      <c r="U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Q894" s="7"/>
      <c r="U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Q895" s="7"/>
      <c r="U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Q896" s="7"/>
      <c r="U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Q897" s="7"/>
      <c r="U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Q898" s="7"/>
      <c r="U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Q899" s="7"/>
      <c r="U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Q900" s="7"/>
      <c r="U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Q901" s="7"/>
      <c r="U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Q902" s="7"/>
      <c r="U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Q903" s="7"/>
      <c r="U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Q904" s="7"/>
      <c r="U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Q905" s="7"/>
      <c r="U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Q906" s="7"/>
      <c r="U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Q907" s="7"/>
      <c r="U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Q908" s="7"/>
      <c r="U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Q909" s="7"/>
      <c r="U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Q910" s="7"/>
      <c r="U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Q911" s="7"/>
      <c r="U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Q912" s="7"/>
      <c r="U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Q913" s="7"/>
      <c r="U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Q914" s="7"/>
      <c r="U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Q915" s="7"/>
      <c r="U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Q916" s="7"/>
      <c r="U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Q917" s="7"/>
      <c r="U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Q918" s="7"/>
      <c r="U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Q919" s="7"/>
      <c r="U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Q920" s="7"/>
      <c r="U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Q921" s="7"/>
      <c r="U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Q922" s="7"/>
      <c r="U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Q923" s="7"/>
      <c r="U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Q924" s="7"/>
      <c r="U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Q925" s="7"/>
      <c r="U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Q926" s="7"/>
      <c r="U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Q927" s="7"/>
      <c r="U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Q928" s="7"/>
      <c r="U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Q929" s="7"/>
      <c r="U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Q930" s="7"/>
      <c r="U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Q931" s="7"/>
      <c r="U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Q932" s="7"/>
      <c r="U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Q933" s="7"/>
      <c r="U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Q934" s="7"/>
      <c r="U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Q935" s="7"/>
      <c r="U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Q936" s="7"/>
      <c r="U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Q937" s="7"/>
      <c r="U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Q938" s="7"/>
      <c r="U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Q939" s="7"/>
      <c r="U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Q940" s="7"/>
      <c r="U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Q941" s="7"/>
      <c r="U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Q942" s="7"/>
      <c r="U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Q943" s="7"/>
      <c r="U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Q944" s="7"/>
      <c r="U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Q945" s="7"/>
      <c r="U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Q946" s="7"/>
      <c r="U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Q947" s="7"/>
      <c r="U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Q948" s="7"/>
      <c r="U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Q949" s="7"/>
      <c r="U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Q950" s="7"/>
      <c r="U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Q951" s="7"/>
      <c r="U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Q952" s="7"/>
      <c r="U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Q953" s="7"/>
      <c r="U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Q954" s="7"/>
      <c r="U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Q955" s="7"/>
      <c r="U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Q956" s="7"/>
      <c r="U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Q957" s="7"/>
      <c r="U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Q958" s="7"/>
      <c r="U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Q959" s="7"/>
      <c r="U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Q960" s="7"/>
      <c r="U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Q961" s="7"/>
      <c r="U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Q962" s="7"/>
      <c r="U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Q963" s="7"/>
      <c r="U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Q964" s="7"/>
      <c r="U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Q965" s="7"/>
      <c r="U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Q966" s="7"/>
      <c r="U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Q967" s="7"/>
      <c r="U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Q968" s="7"/>
      <c r="U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Q969" s="7"/>
      <c r="U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Q970" s="7"/>
      <c r="U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Q971" s="7"/>
      <c r="U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Q972" s="7"/>
      <c r="U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Q973" s="7"/>
      <c r="U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Q974" s="7"/>
      <c r="U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Q975" s="7"/>
      <c r="U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Q976" s="7"/>
      <c r="U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Q977" s="7"/>
      <c r="U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Q978" s="7"/>
      <c r="U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Q979" s="7"/>
      <c r="U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Q980" s="7"/>
      <c r="U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Q981" s="7"/>
      <c r="U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Q982" s="7"/>
      <c r="U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Q983" s="7"/>
      <c r="U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Q984" s="7"/>
      <c r="U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Q985" s="7"/>
      <c r="U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Q986" s="7"/>
      <c r="U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Q987" s="7"/>
      <c r="U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Q988" s="7"/>
      <c r="U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Q989" s="7"/>
      <c r="U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Q990" s="7"/>
      <c r="U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Q991" s="7"/>
      <c r="U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Q992" s="7"/>
      <c r="U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Q993" s="7"/>
      <c r="U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Q994" s="7"/>
      <c r="U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Q995" s="7"/>
      <c r="U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Q996" s="7"/>
      <c r="U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Q997" s="7"/>
      <c r="U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Q998" s="7"/>
      <c r="U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Q999" s="7"/>
      <c r="U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Q1000" s="7"/>
      <c r="U1000" s="7"/>
    </row>
  </sheetData>
  <mergeCells count="4">
    <mergeCell ref="B2:D2"/>
    <mergeCell ref="I2:K2"/>
    <mergeCell ref="L2:O2"/>
    <mergeCell ref="P2:R2"/>
  </mergeCells>
  <printOptions/>
  <pageMargins bottom="1.0" footer="0.0" header="0.0" left="0.75" right="0.75" top="1.0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/>
  <cols>
    <col customWidth="1" min="1" max="1" width="11.5"/>
    <col customWidth="1" min="2" max="2" width="10.5"/>
    <col customWidth="1" min="3" max="3" width="9.63"/>
    <col customWidth="1" min="4" max="4" width="10.5"/>
    <col customWidth="1" min="5" max="5" width="9.0"/>
    <col customWidth="1" min="6" max="7" width="9.75"/>
    <col customWidth="1" min="8" max="8" width="9.0"/>
  </cols>
  <sheetData>
    <row r="1" ht="27.75" customHeight="1">
      <c r="A1" s="808" t="s">
        <v>226</v>
      </c>
      <c r="B1" s="809"/>
      <c r="C1" s="809"/>
      <c r="D1" s="809"/>
      <c r="E1" s="809"/>
      <c r="F1" s="809"/>
      <c r="G1" s="809"/>
      <c r="H1" s="810"/>
      <c r="I1" s="928"/>
      <c r="J1" s="928"/>
      <c r="K1" s="928"/>
      <c r="L1" s="928"/>
      <c r="M1" s="928"/>
      <c r="N1" s="928"/>
      <c r="O1" s="928"/>
      <c r="P1" s="928"/>
      <c r="Q1" s="928"/>
      <c r="R1" s="928"/>
      <c r="S1" s="928"/>
      <c r="T1" s="928"/>
      <c r="U1" s="928"/>
      <c r="V1" s="928"/>
      <c r="W1" s="928"/>
      <c r="X1" s="928"/>
      <c r="Y1" s="928"/>
      <c r="Z1" s="928"/>
    </row>
    <row r="2" ht="51.75" customHeight="1">
      <c r="A2" s="811" t="s">
        <v>2</v>
      </c>
      <c r="B2" s="811" t="s">
        <v>189</v>
      </c>
      <c r="C2" s="811" t="s">
        <v>227</v>
      </c>
      <c r="D2" s="811" t="s">
        <v>191</v>
      </c>
      <c r="E2" s="811" t="s">
        <v>228</v>
      </c>
      <c r="F2" s="812" t="s">
        <v>109</v>
      </c>
      <c r="G2" s="812" t="s">
        <v>66</v>
      </c>
      <c r="H2" s="811" t="s">
        <v>229</v>
      </c>
      <c r="I2" s="929"/>
      <c r="J2" s="929"/>
      <c r="K2" s="929"/>
      <c r="L2" s="929"/>
      <c r="M2" s="929"/>
      <c r="N2" s="929"/>
      <c r="O2" s="929"/>
      <c r="P2" s="929"/>
      <c r="Q2" s="929"/>
      <c r="R2" s="929"/>
      <c r="S2" s="929"/>
      <c r="T2" s="929"/>
      <c r="U2" s="929"/>
      <c r="V2" s="929"/>
      <c r="W2" s="929"/>
      <c r="X2" s="929"/>
      <c r="Y2" s="929"/>
      <c r="Z2" s="929"/>
    </row>
    <row r="3" ht="15.75" customHeight="1">
      <c r="A3" s="841" t="s">
        <v>34</v>
      </c>
      <c r="B3" s="815">
        <f>CONTROLE!L7</f>
        <v>2824</v>
      </c>
      <c r="C3" s="815">
        <f>CONTROLE!M7</f>
        <v>1278</v>
      </c>
      <c r="D3" s="930">
        <f>CONTROLE!F7</f>
        <v>383.4</v>
      </c>
      <c r="E3" s="930">
        <f>CONTROLE!D7</f>
        <v>394</v>
      </c>
      <c r="F3" s="931">
        <f t="shared" ref="F3:F14" si="1">SUM(D3:E3)</f>
        <v>777.4</v>
      </c>
      <c r="G3" s="930"/>
      <c r="H3" s="931">
        <f t="shared" ref="H3:H14" si="2">SUM(F3:G3)</f>
        <v>777.4</v>
      </c>
      <c r="I3" s="929"/>
      <c r="J3" s="929"/>
      <c r="K3" s="929"/>
      <c r="L3" s="929"/>
      <c r="M3" s="929"/>
      <c r="N3" s="929"/>
      <c r="O3" s="929"/>
      <c r="P3" s="929"/>
      <c r="Q3" s="929"/>
      <c r="R3" s="929"/>
      <c r="S3" s="929"/>
      <c r="T3" s="929"/>
      <c r="U3" s="929"/>
      <c r="V3" s="929"/>
      <c r="W3" s="929"/>
      <c r="X3" s="929"/>
      <c r="Y3" s="929"/>
      <c r="Z3" s="929"/>
    </row>
    <row r="4" ht="15.75" customHeight="1">
      <c r="A4" s="837" t="s">
        <v>91</v>
      </c>
      <c r="B4" s="818">
        <f>CONTROLE!L20</f>
        <v>1590</v>
      </c>
      <c r="C4" s="819">
        <f>CONTROLE!M20</f>
        <v>345</v>
      </c>
      <c r="D4" s="840">
        <f>CONTROLE!F20</f>
        <v>103.5</v>
      </c>
      <c r="E4" s="840">
        <f>CONTROLE!D20</f>
        <v>302</v>
      </c>
      <c r="F4" s="932">
        <f t="shared" si="1"/>
        <v>405.5</v>
      </c>
      <c r="G4" s="840">
        <v>300.0</v>
      </c>
      <c r="H4" s="932">
        <f t="shared" si="2"/>
        <v>705.5</v>
      </c>
      <c r="I4" s="929"/>
      <c r="J4" s="929"/>
      <c r="K4" s="929"/>
      <c r="L4" s="929"/>
      <c r="M4" s="929"/>
      <c r="N4" s="929"/>
      <c r="O4" s="929"/>
      <c r="P4" s="929"/>
      <c r="Q4" s="929"/>
      <c r="R4" s="929"/>
      <c r="S4" s="929"/>
      <c r="T4" s="929"/>
      <c r="U4" s="929"/>
      <c r="V4" s="929"/>
      <c r="W4" s="929"/>
      <c r="X4" s="929"/>
      <c r="Y4" s="929"/>
      <c r="Z4" s="929"/>
    </row>
    <row r="5" ht="15.75" customHeight="1">
      <c r="A5" s="841" t="s">
        <v>98</v>
      </c>
      <c r="B5" s="815">
        <f>CONTROLE!L33</f>
        <v>1859</v>
      </c>
      <c r="C5" s="815">
        <f>CONTROLE!M33</f>
        <v>536</v>
      </c>
      <c r="D5" s="930">
        <f>CONTROLE!F33</f>
        <v>160.8</v>
      </c>
      <c r="E5" s="930">
        <f>CONTROLE!D33</f>
        <v>449</v>
      </c>
      <c r="F5" s="931">
        <f t="shared" si="1"/>
        <v>609.8</v>
      </c>
      <c r="G5" s="930">
        <v>300.0</v>
      </c>
      <c r="H5" s="931">
        <f t="shared" si="2"/>
        <v>909.8</v>
      </c>
      <c r="I5" s="929"/>
      <c r="J5" s="929"/>
      <c r="K5" s="929"/>
      <c r="L5" s="929"/>
      <c r="M5" s="929"/>
      <c r="N5" s="929"/>
      <c r="O5" s="929"/>
      <c r="P5" s="929"/>
      <c r="Q5" s="929"/>
      <c r="R5" s="929"/>
      <c r="S5" s="929"/>
      <c r="T5" s="929"/>
      <c r="U5" s="929"/>
      <c r="V5" s="929"/>
      <c r="W5" s="929"/>
      <c r="X5" s="929"/>
      <c r="Y5" s="929"/>
      <c r="Z5" s="929"/>
    </row>
    <row r="6" ht="15.75" customHeight="1">
      <c r="A6" s="823" t="s">
        <v>103</v>
      </c>
      <c r="B6" s="933">
        <v>1404.0</v>
      </c>
      <c r="C6" s="933">
        <v>345.0</v>
      </c>
      <c r="D6" s="825">
        <f t="shared" ref="D6:D9" si="3">C6*0.3</f>
        <v>103.5</v>
      </c>
      <c r="E6" s="825">
        <v>0.0</v>
      </c>
      <c r="F6" s="934">
        <f t="shared" si="1"/>
        <v>103.5</v>
      </c>
      <c r="G6" s="935" t="s">
        <v>132</v>
      </c>
      <c r="H6" s="934">
        <f t="shared" si="2"/>
        <v>103.5</v>
      </c>
      <c r="I6" s="929"/>
      <c r="J6" s="929"/>
      <c r="K6" s="929"/>
      <c r="L6" s="929"/>
      <c r="M6" s="929"/>
      <c r="N6" s="929"/>
      <c r="O6" s="929"/>
      <c r="P6" s="929"/>
      <c r="Q6" s="929"/>
      <c r="R6" s="929"/>
      <c r="S6" s="929"/>
      <c r="T6" s="929"/>
      <c r="U6" s="929"/>
      <c r="V6" s="929"/>
      <c r="W6" s="929"/>
      <c r="X6" s="929"/>
      <c r="Y6" s="929"/>
      <c r="Z6" s="929"/>
    </row>
    <row r="7" ht="15.75" customHeight="1">
      <c r="A7" s="190" t="s">
        <v>110</v>
      </c>
      <c r="B7" s="192">
        <v>1870.0</v>
      </c>
      <c r="C7" s="192">
        <v>394.0</v>
      </c>
      <c r="D7" s="828">
        <f t="shared" si="3"/>
        <v>118.2</v>
      </c>
      <c r="E7" s="828">
        <f>CONTROLE!D64</f>
        <v>421</v>
      </c>
      <c r="F7" s="828">
        <f t="shared" si="1"/>
        <v>539.2</v>
      </c>
      <c r="G7" s="828">
        <f>CONTROLE!G64</f>
        <v>300</v>
      </c>
      <c r="H7" s="828">
        <f t="shared" si="2"/>
        <v>839.2</v>
      </c>
      <c r="I7" s="929"/>
      <c r="J7" s="929"/>
      <c r="K7" s="929"/>
      <c r="L7" s="929"/>
      <c r="M7" s="929"/>
      <c r="N7" s="929"/>
      <c r="O7" s="929"/>
      <c r="P7" s="929"/>
      <c r="Q7" s="929"/>
      <c r="R7" s="929"/>
      <c r="S7" s="929"/>
      <c r="T7" s="929"/>
      <c r="U7" s="929"/>
      <c r="V7" s="929"/>
      <c r="W7" s="929"/>
      <c r="X7" s="929"/>
      <c r="Y7" s="929"/>
      <c r="Z7" s="929"/>
    </row>
    <row r="8" ht="15.75" customHeight="1">
      <c r="A8" s="936" t="s">
        <v>138</v>
      </c>
      <c r="B8" s="937">
        <f>CONTROLE!L80</f>
        <v>1170</v>
      </c>
      <c r="C8" s="937">
        <f>CONTROLE!M80</f>
        <v>390</v>
      </c>
      <c r="D8" s="938">
        <f t="shared" si="3"/>
        <v>117</v>
      </c>
      <c r="E8" s="938"/>
      <c r="F8" s="938">
        <f t="shared" si="1"/>
        <v>117</v>
      </c>
      <c r="G8" s="938"/>
      <c r="H8" s="939">
        <f t="shared" si="2"/>
        <v>117</v>
      </c>
      <c r="I8" s="940"/>
      <c r="J8" s="929"/>
      <c r="K8" s="929"/>
      <c r="L8" s="929"/>
      <c r="M8" s="929"/>
      <c r="N8" s="929"/>
      <c r="O8" s="929"/>
      <c r="P8" s="929"/>
      <c r="Q8" s="929"/>
      <c r="R8" s="929"/>
      <c r="S8" s="929"/>
      <c r="T8" s="929"/>
      <c r="U8" s="929"/>
      <c r="V8" s="929"/>
      <c r="W8" s="929"/>
      <c r="X8" s="929"/>
      <c r="Y8" s="929"/>
      <c r="Z8" s="929"/>
    </row>
    <row r="9" ht="15.75" customHeight="1">
      <c r="A9" s="941" t="s">
        <v>139</v>
      </c>
      <c r="B9" s="941"/>
      <c r="C9" s="941"/>
      <c r="D9" s="942">
        <f t="shared" si="3"/>
        <v>0</v>
      </c>
      <c r="E9" s="942"/>
      <c r="F9" s="942">
        <f t="shared" si="1"/>
        <v>0</v>
      </c>
      <c r="G9" s="942"/>
      <c r="H9" s="942">
        <f t="shared" si="2"/>
        <v>0</v>
      </c>
      <c r="I9" s="929"/>
      <c r="J9" s="929"/>
      <c r="K9" s="929"/>
      <c r="L9" s="929"/>
      <c r="M9" s="929"/>
      <c r="N9" s="929"/>
      <c r="O9" s="929"/>
      <c r="P9" s="929"/>
      <c r="Q9" s="929"/>
      <c r="R9" s="929"/>
      <c r="S9" s="929"/>
      <c r="T9" s="929"/>
      <c r="U9" s="929"/>
      <c r="V9" s="929"/>
      <c r="W9" s="929"/>
      <c r="X9" s="929"/>
      <c r="Y9" s="929"/>
      <c r="Z9" s="929"/>
    </row>
    <row r="10" ht="15.75" customHeight="1">
      <c r="A10" s="837" t="s">
        <v>141</v>
      </c>
      <c r="B10" s="837"/>
      <c r="C10" s="837"/>
      <c r="D10" s="943"/>
      <c r="E10" s="944"/>
      <c r="F10" s="944">
        <f t="shared" si="1"/>
        <v>0</v>
      </c>
      <c r="G10" s="944"/>
      <c r="H10" s="944">
        <f t="shared" si="2"/>
        <v>0</v>
      </c>
      <c r="I10" s="929"/>
      <c r="J10" s="929"/>
      <c r="K10" s="929"/>
      <c r="L10" s="929"/>
      <c r="M10" s="929"/>
      <c r="N10" s="929"/>
      <c r="O10" s="929"/>
      <c r="P10" s="929"/>
      <c r="Q10" s="929"/>
      <c r="R10" s="929"/>
      <c r="S10" s="929"/>
      <c r="T10" s="929"/>
      <c r="U10" s="929"/>
      <c r="V10" s="929"/>
      <c r="W10" s="929"/>
      <c r="X10" s="929"/>
      <c r="Y10" s="929"/>
      <c r="Z10" s="929"/>
    </row>
    <row r="11" ht="15.75" customHeight="1">
      <c r="A11" s="841" t="s">
        <v>142</v>
      </c>
      <c r="B11" s="945"/>
      <c r="C11" s="945"/>
      <c r="D11" s="946"/>
      <c r="E11" s="947"/>
      <c r="F11" s="948">
        <f t="shared" si="1"/>
        <v>0</v>
      </c>
      <c r="G11" s="946"/>
      <c r="H11" s="948">
        <f t="shared" si="2"/>
        <v>0</v>
      </c>
      <c r="I11" s="929"/>
      <c r="J11" s="929"/>
      <c r="K11" s="929"/>
      <c r="L11" s="929"/>
      <c r="M11" s="929"/>
      <c r="N11" s="929"/>
      <c r="O11" s="929"/>
      <c r="P11" s="929"/>
      <c r="Q11" s="929"/>
      <c r="R11" s="929"/>
      <c r="S11" s="929"/>
      <c r="T11" s="929"/>
      <c r="U11" s="929"/>
      <c r="V11" s="929"/>
      <c r="W11" s="929"/>
      <c r="X11" s="929"/>
      <c r="Y11" s="929"/>
      <c r="Z11" s="929"/>
    </row>
    <row r="12" ht="15.75" customHeight="1">
      <c r="A12" s="837" t="s">
        <v>143</v>
      </c>
      <c r="B12" s="949"/>
      <c r="C12" s="949"/>
      <c r="D12" s="950"/>
      <c r="E12" s="951"/>
      <c r="F12" s="944">
        <f t="shared" si="1"/>
        <v>0</v>
      </c>
      <c r="G12" s="950"/>
      <c r="H12" s="944">
        <f t="shared" si="2"/>
        <v>0</v>
      </c>
      <c r="I12" s="929"/>
      <c r="J12" s="929"/>
      <c r="K12" s="929"/>
      <c r="L12" s="929"/>
      <c r="M12" s="929"/>
      <c r="N12" s="929"/>
      <c r="O12" s="929"/>
      <c r="P12" s="929"/>
      <c r="Q12" s="929"/>
      <c r="R12" s="929"/>
      <c r="S12" s="929"/>
      <c r="T12" s="929"/>
      <c r="U12" s="929"/>
      <c r="V12" s="929"/>
      <c r="W12" s="929"/>
      <c r="X12" s="929"/>
      <c r="Y12" s="929"/>
      <c r="Z12" s="929"/>
    </row>
    <row r="13" ht="15.75" customHeight="1">
      <c r="A13" s="841" t="s">
        <v>144</v>
      </c>
      <c r="B13" s="945"/>
      <c r="C13" s="945"/>
      <c r="D13" s="946"/>
      <c r="E13" s="947"/>
      <c r="F13" s="948">
        <f t="shared" si="1"/>
        <v>0</v>
      </c>
      <c r="G13" s="946"/>
      <c r="H13" s="948">
        <f t="shared" si="2"/>
        <v>0</v>
      </c>
      <c r="I13" s="929"/>
      <c r="J13" s="929"/>
      <c r="K13" s="929"/>
      <c r="L13" s="929"/>
      <c r="M13" s="929"/>
      <c r="N13" s="929"/>
      <c r="O13" s="929"/>
      <c r="P13" s="929"/>
      <c r="Q13" s="929"/>
      <c r="R13" s="929"/>
      <c r="S13" s="929"/>
      <c r="T13" s="929"/>
      <c r="U13" s="929"/>
      <c r="V13" s="929"/>
      <c r="W13" s="929"/>
      <c r="X13" s="929"/>
      <c r="Y13" s="929"/>
      <c r="Z13" s="929"/>
    </row>
    <row r="14" ht="15.75" customHeight="1">
      <c r="A14" s="837" t="s">
        <v>145</v>
      </c>
      <c r="B14" s="949"/>
      <c r="C14" s="949"/>
      <c r="D14" s="950"/>
      <c r="E14" s="951"/>
      <c r="F14" s="944">
        <f t="shared" si="1"/>
        <v>0</v>
      </c>
      <c r="G14" s="950"/>
      <c r="H14" s="944">
        <f t="shared" si="2"/>
        <v>0</v>
      </c>
      <c r="I14" s="929"/>
      <c r="J14" s="929"/>
      <c r="K14" s="929"/>
      <c r="L14" s="929"/>
      <c r="M14" s="929"/>
      <c r="N14" s="929"/>
      <c r="O14" s="929"/>
      <c r="P14" s="929"/>
      <c r="Q14" s="929"/>
      <c r="R14" s="929"/>
      <c r="S14" s="929"/>
      <c r="T14" s="929"/>
      <c r="U14" s="929"/>
      <c r="V14" s="929"/>
      <c r="W14" s="929"/>
      <c r="X14" s="929"/>
      <c r="Y14" s="929"/>
      <c r="Z14" s="929"/>
    </row>
    <row r="15" ht="15.75" customHeight="1">
      <c r="A15" s="929"/>
      <c r="B15" s="952"/>
      <c r="C15" s="952"/>
      <c r="D15" s="929"/>
      <c r="E15" s="929"/>
      <c r="F15" s="929"/>
      <c r="G15" s="929"/>
      <c r="H15" s="929"/>
      <c r="I15" s="929"/>
      <c r="J15" s="929"/>
      <c r="K15" s="929"/>
      <c r="L15" s="929"/>
      <c r="M15" s="929"/>
      <c r="N15" s="929"/>
      <c r="O15" s="929"/>
      <c r="P15" s="929"/>
      <c r="Q15" s="929"/>
      <c r="R15" s="929"/>
      <c r="S15" s="929"/>
      <c r="T15" s="929"/>
      <c r="U15" s="929"/>
      <c r="V15" s="929"/>
      <c r="W15" s="929"/>
      <c r="X15" s="929"/>
      <c r="Y15" s="929"/>
      <c r="Z15" s="929"/>
    </row>
    <row r="16" ht="15.75" customHeight="1">
      <c r="A16" s="929"/>
      <c r="B16" s="952"/>
      <c r="C16" s="952"/>
      <c r="D16" s="929"/>
      <c r="E16" s="929"/>
      <c r="F16" s="929"/>
      <c r="G16" s="929"/>
      <c r="H16" s="929"/>
      <c r="I16" s="929"/>
      <c r="J16" s="929"/>
      <c r="K16" s="929"/>
      <c r="L16" s="929"/>
      <c r="M16" s="929"/>
      <c r="N16" s="929"/>
      <c r="O16" s="929"/>
      <c r="P16" s="929"/>
      <c r="Q16" s="929"/>
      <c r="R16" s="929"/>
      <c r="S16" s="929"/>
      <c r="T16" s="929"/>
      <c r="U16" s="929"/>
      <c r="V16" s="929"/>
      <c r="W16" s="929"/>
      <c r="X16" s="929"/>
      <c r="Y16" s="929"/>
      <c r="Z16" s="929"/>
    </row>
    <row r="17" ht="15.75" customHeight="1">
      <c r="A17" s="929"/>
      <c r="B17" s="952"/>
      <c r="C17" s="952"/>
      <c r="D17" s="929"/>
      <c r="E17" s="929"/>
      <c r="F17" s="929"/>
      <c r="G17" s="929"/>
      <c r="H17" s="929"/>
      <c r="I17" s="929"/>
      <c r="J17" s="929"/>
      <c r="K17" s="929"/>
      <c r="L17" s="929"/>
      <c r="M17" s="929"/>
      <c r="N17" s="929"/>
      <c r="O17" s="929"/>
      <c r="P17" s="929"/>
      <c r="Q17" s="929"/>
      <c r="R17" s="929"/>
      <c r="S17" s="929"/>
      <c r="T17" s="929"/>
      <c r="U17" s="929"/>
      <c r="V17" s="929"/>
      <c r="W17" s="929"/>
      <c r="X17" s="929"/>
      <c r="Y17" s="929"/>
      <c r="Z17" s="929"/>
    </row>
    <row r="18" ht="15.75" customHeight="1">
      <c r="A18" s="929"/>
      <c r="B18" s="952"/>
      <c r="C18" s="952"/>
      <c r="D18" s="929"/>
      <c r="E18" s="929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29"/>
      <c r="Q18" s="929"/>
      <c r="R18" s="929"/>
      <c r="S18" s="929"/>
      <c r="T18" s="929"/>
      <c r="U18" s="929"/>
      <c r="V18" s="929"/>
      <c r="W18" s="929"/>
      <c r="X18" s="929"/>
      <c r="Y18" s="929"/>
      <c r="Z18" s="929"/>
    </row>
    <row r="19" ht="15.75" customHeight="1">
      <c r="A19" s="929"/>
      <c r="B19" s="952"/>
      <c r="C19" s="952"/>
      <c r="D19" s="929"/>
      <c r="E19" s="929"/>
      <c r="F19" s="929"/>
      <c r="G19" s="929"/>
      <c r="H19" s="929"/>
      <c r="I19" s="929"/>
      <c r="J19" s="929"/>
      <c r="K19" s="929"/>
      <c r="L19" s="929"/>
      <c r="M19" s="929"/>
      <c r="N19" s="929"/>
      <c r="O19" s="929"/>
      <c r="P19" s="929"/>
      <c r="Q19" s="929"/>
      <c r="R19" s="929"/>
      <c r="S19" s="929"/>
      <c r="T19" s="929"/>
      <c r="U19" s="929"/>
      <c r="V19" s="929"/>
      <c r="W19" s="929"/>
      <c r="X19" s="929"/>
      <c r="Y19" s="929"/>
      <c r="Z19" s="929"/>
    </row>
    <row r="20" ht="15.75" customHeight="1">
      <c r="A20" s="929"/>
      <c r="B20" s="952"/>
      <c r="C20" s="952"/>
      <c r="D20" s="929"/>
      <c r="E20" s="929"/>
      <c r="F20" s="929"/>
      <c r="G20" s="929"/>
      <c r="H20" s="929"/>
      <c r="I20" s="929"/>
      <c r="J20" s="929"/>
      <c r="K20" s="929"/>
      <c r="L20" s="929"/>
      <c r="M20" s="929"/>
      <c r="N20" s="929"/>
      <c r="O20" s="929"/>
      <c r="P20" s="929"/>
      <c r="Q20" s="929"/>
      <c r="R20" s="929"/>
      <c r="S20" s="929"/>
      <c r="T20" s="929"/>
      <c r="U20" s="929"/>
      <c r="V20" s="929"/>
      <c r="W20" s="929"/>
      <c r="X20" s="929"/>
      <c r="Y20" s="929"/>
      <c r="Z20" s="929"/>
    </row>
    <row r="21" ht="15.75" customHeight="1">
      <c r="A21" s="929"/>
      <c r="B21" s="952"/>
      <c r="C21" s="952"/>
      <c r="D21" s="929"/>
      <c r="E21" s="929"/>
      <c r="F21" s="929"/>
      <c r="G21" s="929"/>
      <c r="H21" s="929"/>
      <c r="I21" s="929"/>
      <c r="J21" s="929"/>
      <c r="K21" s="929"/>
      <c r="L21" s="929"/>
      <c r="M21" s="929"/>
      <c r="N21" s="929"/>
      <c r="O21" s="929"/>
      <c r="P21" s="929"/>
      <c r="Q21" s="929"/>
      <c r="R21" s="929"/>
      <c r="S21" s="929"/>
      <c r="T21" s="929"/>
      <c r="U21" s="929"/>
      <c r="V21" s="929"/>
      <c r="W21" s="929"/>
      <c r="X21" s="929"/>
      <c r="Y21" s="929"/>
      <c r="Z21" s="929"/>
    </row>
    <row r="22" ht="15.75" customHeight="1">
      <c r="A22" s="929"/>
      <c r="B22" s="952"/>
      <c r="C22" s="952"/>
      <c r="D22" s="929"/>
      <c r="E22" s="929"/>
      <c r="F22" s="929"/>
      <c r="G22" s="929"/>
      <c r="H22" s="929"/>
      <c r="I22" s="929"/>
      <c r="J22" s="929"/>
      <c r="K22" s="929"/>
      <c r="L22" s="929"/>
      <c r="M22" s="929"/>
      <c r="N22" s="929"/>
      <c r="O22" s="929"/>
      <c r="P22" s="929"/>
      <c r="Q22" s="929"/>
      <c r="R22" s="929"/>
      <c r="S22" s="929"/>
      <c r="T22" s="929"/>
      <c r="U22" s="929"/>
      <c r="V22" s="929"/>
      <c r="W22" s="929"/>
      <c r="X22" s="929"/>
      <c r="Y22" s="929"/>
      <c r="Z22" s="929"/>
    </row>
    <row r="23" ht="15.75" customHeight="1">
      <c r="A23" s="929"/>
      <c r="B23" s="952"/>
      <c r="C23" s="952"/>
      <c r="D23" s="929"/>
      <c r="E23" s="929"/>
      <c r="F23" s="929"/>
      <c r="G23" s="929"/>
      <c r="H23" s="929"/>
      <c r="I23" s="929"/>
      <c r="J23" s="929"/>
      <c r="K23" s="929"/>
      <c r="L23" s="929"/>
      <c r="M23" s="929"/>
      <c r="N23" s="929"/>
      <c r="O23" s="929"/>
      <c r="P23" s="929"/>
      <c r="Q23" s="929"/>
      <c r="R23" s="929"/>
      <c r="S23" s="929"/>
      <c r="T23" s="929"/>
      <c r="U23" s="929"/>
      <c r="V23" s="929"/>
      <c r="W23" s="929"/>
      <c r="X23" s="929"/>
      <c r="Y23" s="929"/>
      <c r="Z23" s="929"/>
    </row>
    <row r="24" ht="15.75" customHeight="1">
      <c r="A24" s="929"/>
      <c r="B24" s="952"/>
      <c r="C24" s="952"/>
      <c r="D24" s="929"/>
      <c r="E24" s="929"/>
      <c r="F24" s="929"/>
      <c r="G24" s="929"/>
      <c r="H24" s="929"/>
      <c r="I24" s="929"/>
      <c r="J24" s="929"/>
      <c r="K24" s="929"/>
      <c r="L24" s="929"/>
      <c r="M24" s="929"/>
      <c r="N24" s="929"/>
      <c r="O24" s="929"/>
      <c r="P24" s="929"/>
      <c r="Q24" s="929"/>
      <c r="R24" s="929"/>
      <c r="S24" s="929"/>
      <c r="T24" s="929"/>
      <c r="U24" s="929"/>
      <c r="V24" s="929"/>
      <c r="W24" s="929"/>
      <c r="X24" s="929"/>
      <c r="Y24" s="929"/>
      <c r="Z24" s="929"/>
    </row>
    <row r="25" ht="15.75" customHeight="1">
      <c r="A25" s="929"/>
      <c r="B25" s="952"/>
      <c r="C25" s="952"/>
      <c r="D25" s="929"/>
      <c r="E25" s="929"/>
      <c r="F25" s="929"/>
      <c r="G25" s="929"/>
      <c r="H25" s="929"/>
      <c r="I25" s="929"/>
      <c r="J25" s="929"/>
      <c r="K25" s="929"/>
      <c r="L25" s="929"/>
      <c r="M25" s="929"/>
      <c r="N25" s="929"/>
      <c r="O25" s="929"/>
      <c r="P25" s="929"/>
      <c r="Q25" s="929"/>
      <c r="R25" s="929"/>
      <c r="S25" s="929"/>
      <c r="T25" s="929"/>
      <c r="U25" s="929"/>
      <c r="V25" s="929"/>
      <c r="W25" s="929"/>
      <c r="X25" s="929"/>
      <c r="Y25" s="929"/>
      <c r="Z25" s="929"/>
    </row>
    <row r="26" ht="15.75" customHeight="1">
      <c r="A26" s="929"/>
      <c r="B26" s="952"/>
      <c r="C26" s="952"/>
      <c r="D26" s="929"/>
      <c r="E26" s="929"/>
      <c r="F26" s="929"/>
      <c r="G26" s="929"/>
      <c r="H26" s="929"/>
      <c r="I26" s="929"/>
      <c r="J26" s="929"/>
      <c r="K26" s="929"/>
      <c r="L26" s="929"/>
      <c r="M26" s="929"/>
      <c r="N26" s="929"/>
      <c r="O26" s="929"/>
      <c r="P26" s="929"/>
      <c r="Q26" s="929"/>
      <c r="R26" s="929"/>
      <c r="S26" s="929"/>
      <c r="T26" s="929"/>
      <c r="U26" s="929"/>
      <c r="V26" s="929"/>
      <c r="W26" s="929"/>
      <c r="X26" s="929"/>
      <c r="Y26" s="929"/>
      <c r="Z26" s="929"/>
    </row>
    <row r="27" ht="15.75" customHeight="1">
      <c r="A27" s="929"/>
      <c r="B27" s="952"/>
      <c r="C27" s="952"/>
      <c r="D27" s="929"/>
      <c r="E27" s="929"/>
      <c r="F27" s="929"/>
      <c r="G27" s="929"/>
      <c r="H27" s="929"/>
      <c r="I27" s="929"/>
      <c r="J27" s="929"/>
      <c r="K27" s="929"/>
      <c r="L27" s="929"/>
      <c r="M27" s="929"/>
      <c r="N27" s="929"/>
      <c r="O27" s="929"/>
      <c r="P27" s="929"/>
      <c r="Q27" s="929"/>
      <c r="R27" s="929"/>
      <c r="S27" s="929"/>
      <c r="T27" s="929"/>
      <c r="U27" s="929"/>
      <c r="V27" s="929"/>
      <c r="W27" s="929"/>
      <c r="X27" s="929"/>
      <c r="Y27" s="929"/>
      <c r="Z27" s="929"/>
    </row>
    <row r="28" ht="15.75" customHeight="1">
      <c r="A28" s="929"/>
      <c r="B28" s="952"/>
      <c r="C28" s="952"/>
      <c r="D28" s="929"/>
      <c r="E28" s="929"/>
      <c r="F28" s="929"/>
      <c r="G28" s="929"/>
      <c r="H28" s="929"/>
      <c r="I28" s="929"/>
      <c r="J28" s="929"/>
      <c r="K28" s="929"/>
      <c r="L28" s="929"/>
      <c r="M28" s="929"/>
      <c r="N28" s="929"/>
      <c r="O28" s="929"/>
      <c r="P28" s="929"/>
      <c r="Q28" s="929"/>
      <c r="R28" s="929"/>
      <c r="S28" s="929"/>
      <c r="T28" s="929"/>
      <c r="U28" s="929"/>
      <c r="V28" s="929"/>
      <c r="W28" s="929"/>
      <c r="X28" s="929"/>
      <c r="Y28" s="929"/>
      <c r="Z28" s="929"/>
    </row>
    <row r="29" ht="15.75" customHeight="1">
      <c r="A29" s="929"/>
      <c r="B29" s="952"/>
      <c r="C29" s="952"/>
      <c r="D29" s="929"/>
      <c r="E29" s="929"/>
      <c r="F29" s="929"/>
      <c r="G29" s="929"/>
      <c r="H29" s="929"/>
      <c r="I29" s="929"/>
      <c r="J29" s="929"/>
      <c r="K29" s="929"/>
      <c r="L29" s="929"/>
      <c r="M29" s="929"/>
      <c r="N29" s="929"/>
      <c r="O29" s="929"/>
      <c r="P29" s="929"/>
      <c r="Q29" s="929"/>
      <c r="R29" s="929"/>
      <c r="S29" s="929"/>
      <c r="T29" s="929"/>
      <c r="U29" s="929"/>
      <c r="V29" s="929"/>
      <c r="W29" s="929"/>
      <c r="X29" s="929"/>
      <c r="Y29" s="929"/>
      <c r="Z29" s="929"/>
    </row>
    <row r="30" ht="15.75" customHeight="1">
      <c r="A30" s="929"/>
      <c r="B30" s="952"/>
      <c r="C30" s="952"/>
      <c r="D30" s="929"/>
      <c r="E30" s="929"/>
      <c r="F30" s="929"/>
      <c r="G30" s="929"/>
      <c r="H30" s="929"/>
      <c r="I30" s="929"/>
      <c r="J30" s="929"/>
      <c r="K30" s="929"/>
      <c r="L30" s="929"/>
      <c r="M30" s="929"/>
      <c r="N30" s="929"/>
      <c r="O30" s="929"/>
      <c r="P30" s="929"/>
      <c r="Q30" s="929"/>
      <c r="R30" s="929"/>
      <c r="S30" s="929"/>
      <c r="T30" s="929"/>
      <c r="U30" s="929"/>
      <c r="V30" s="929"/>
      <c r="W30" s="929"/>
      <c r="X30" s="929"/>
      <c r="Y30" s="929"/>
      <c r="Z30" s="929"/>
    </row>
    <row r="31" ht="15.75" customHeight="1">
      <c r="A31" s="929"/>
      <c r="B31" s="952"/>
      <c r="C31" s="952"/>
      <c r="D31" s="929"/>
      <c r="E31" s="929"/>
      <c r="F31" s="929"/>
      <c r="G31" s="929"/>
      <c r="H31" s="929"/>
      <c r="I31" s="929"/>
      <c r="J31" s="929"/>
      <c r="K31" s="929"/>
      <c r="L31" s="929"/>
      <c r="M31" s="929"/>
      <c r="N31" s="929"/>
      <c r="O31" s="929"/>
      <c r="P31" s="929"/>
      <c r="Q31" s="929"/>
      <c r="R31" s="929"/>
      <c r="S31" s="929"/>
      <c r="T31" s="929"/>
      <c r="U31" s="929"/>
      <c r="V31" s="929"/>
      <c r="W31" s="929"/>
      <c r="X31" s="929"/>
      <c r="Y31" s="929"/>
      <c r="Z31" s="929"/>
    </row>
    <row r="32" ht="15.75" customHeight="1">
      <c r="A32" s="929"/>
      <c r="B32" s="952"/>
      <c r="C32" s="952"/>
      <c r="D32" s="929"/>
      <c r="E32" s="929"/>
      <c r="F32" s="929"/>
      <c r="G32" s="929"/>
      <c r="H32" s="929"/>
      <c r="I32" s="929"/>
      <c r="J32" s="929"/>
      <c r="K32" s="929"/>
      <c r="L32" s="929"/>
      <c r="M32" s="929"/>
      <c r="N32" s="929"/>
      <c r="O32" s="929"/>
      <c r="P32" s="929"/>
      <c r="Q32" s="929"/>
      <c r="R32" s="929"/>
      <c r="S32" s="929"/>
      <c r="T32" s="929"/>
      <c r="U32" s="929"/>
      <c r="V32" s="929"/>
      <c r="W32" s="929"/>
      <c r="X32" s="929"/>
      <c r="Y32" s="929"/>
      <c r="Z32" s="929"/>
    </row>
    <row r="33" ht="15.75" customHeight="1">
      <c r="A33" s="929"/>
      <c r="B33" s="952"/>
      <c r="C33" s="952"/>
      <c r="D33" s="929"/>
      <c r="E33" s="929"/>
      <c r="F33" s="929"/>
      <c r="G33" s="929"/>
      <c r="H33" s="929"/>
      <c r="I33" s="929"/>
      <c r="J33" s="929"/>
      <c r="K33" s="929"/>
      <c r="L33" s="929"/>
      <c r="M33" s="929"/>
      <c r="N33" s="929"/>
      <c r="O33" s="929"/>
      <c r="P33" s="929"/>
      <c r="Q33" s="929"/>
      <c r="R33" s="929"/>
      <c r="S33" s="929"/>
      <c r="T33" s="929"/>
      <c r="U33" s="929"/>
      <c r="V33" s="929"/>
      <c r="W33" s="929"/>
      <c r="X33" s="929"/>
      <c r="Y33" s="929"/>
      <c r="Z33" s="929"/>
    </row>
    <row r="34" ht="15.75" customHeight="1">
      <c r="A34" s="929"/>
      <c r="B34" s="952"/>
      <c r="C34" s="952"/>
      <c r="D34" s="929"/>
      <c r="E34" s="929"/>
      <c r="F34" s="929"/>
      <c r="G34" s="929"/>
      <c r="H34" s="929"/>
      <c r="I34" s="929"/>
      <c r="J34" s="929"/>
      <c r="K34" s="929"/>
      <c r="L34" s="929"/>
      <c r="M34" s="929"/>
      <c r="N34" s="929"/>
      <c r="O34" s="929"/>
      <c r="P34" s="929"/>
      <c r="Q34" s="929"/>
      <c r="R34" s="929"/>
      <c r="S34" s="929"/>
      <c r="T34" s="929"/>
      <c r="U34" s="929"/>
      <c r="V34" s="929"/>
      <c r="W34" s="929"/>
      <c r="X34" s="929"/>
      <c r="Y34" s="929"/>
      <c r="Z34" s="929"/>
    </row>
    <row r="35" ht="15.75" customHeight="1">
      <c r="A35" s="929"/>
      <c r="B35" s="952"/>
      <c r="C35" s="952"/>
      <c r="D35" s="929"/>
      <c r="E35" s="929"/>
      <c r="F35" s="929"/>
      <c r="G35" s="929"/>
      <c r="H35" s="929"/>
      <c r="I35" s="929"/>
      <c r="J35" s="929"/>
      <c r="K35" s="929"/>
      <c r="L35" s="929"/>
      <c r="M35" s="929"/>
      <c r="N35" s="929"/>
      <c r="O35" s="929"/>
      <c r="P35" s="929"/>
      <c r="Q35" s="929"/>
      <c r="R35" s="929"/>
      <c r="S35" s="929"/>
      <c r="T35" s="929"/>
      <c r="U35" s="929"/>
      <c r="V35" s="929"/>
      <c r="W35" s="929"/>
      <c r="X35" s="929"/>
      <c r="Y35" s="929"/>
      <c r="Z35" s="929"/>
    </row>
    <row r="36" ht="15.75" customHeight="1">
      <c r="A36" s="929"/>
      <c r="B36" s="952"/>
      <c r="C36" s="952"/>
      <c r="D36" s="929"/>
      <c r="E36" s="929"/>
      <c r="F36" s="929"/>
      <c r="G36" s="929"/>
      <c r="H36" s="929"/>
      <c r="I36" s="929"/>
      <c r="J36" s="929"/>
      <c r="K36" s="929"/>
      <c r="L36" s="929"/>
      <c r="M36" s="929"/>
      <c r="N36" s="929"/>
      <c r="O36" s="929"/>
      <c r="P36" s="929"/>
      <c r="Q36" s="929"/>
      <c r="R36" s="929"/>
      <c r="S36" s="929"/>
      <c r="T36" s="929"/>
      <c r="U36" s="929"/>
      <c r="V36" s="929"/>
      <c r="W36" s="929"/>
      <c r="X36" s="929"/>
      <c r="Y36" s="929"/>
      <c r="Z36" s="929"/>
    </row>
    <row r="37" ht="15.75" customHeight="1">
      <c r="A37" s="929"/>
      <c r="B37" s="952"/>
      <c r="C37" s="952"/>
      <c r="D37" s="929"/>
      <c r="E37" s="929"/>
      <c r="F37" s="929"/>
      <c r="G37" s="929"/>
      <c r="H37" s="929"/>
      <c r="I37" s="929"/>
      <c r="J37" s="929"/>
      <c r="K37" s="929"/>
      <c r="L37" s="929"/>
      <c r="M37" s="929"/>
      <c r="N37" s="929"/>
      <c r="O37" s="929"/>
      <c r="P37" s="929"/>
      <c r="Q37" s="929"/>
      <c r="R37" s="929"/>
      <c r="S37" s="929"/>
      <c r="T37" s="929"/>
      <c r="U37" s="929"/>
      <c r="V37" s="929"/>
      <c r="W37" s="929"/>
      <c r="X37" s="929"/>
      <c r="Y37" s="929"/>
      <c r="Z37" s="929"/>
    </row>
    <row r="38" ht="15.75" customHeight="1">
      <c r="A38" s="929"/>
      <c r="B38" s="952"/>
      <c r="C38" s="952"/>
      <c r="D38" s="929"/>
      <c r="E38" s="929"/>
      <c r="F38" s="929"/>
      <c r="G38" s="929"/>
      <c r="H38" s="929"/>
      <c r="I38" s="929"/>
      <c r="J38" s="929"/>
      <c r="K38" s="929"/>
      <c r="L38" s="929"/>
      <c r="M38" s="929"/>
      <c r="N38" s="929"/>
      <c r="O38" s="929"/>
      <c r="P38" s="929"/>
      <c r="Q38" s="929"/>
      <c r="R38" s="929"/>
      <c r="S38" s="929"/>
      <c r="T38" s="929"/>
      <c r="U38" s="929"/>
      <c r="V38" s="929"/>
      <c r="W38" s="929"/>
      <c r="X38" s="929"/>
      <c r="Y38" s="929"/>
      <c r="Z38" s="929"/>
    </row>
    <row r="39" ht="15.75" customHeight="1">
      <c r="A39" s="929"/>
      <c r="B39" s="952"/>
      <c r="C39" s="952"/>
      <c r="D39" s="929"/>
      <c r="E39" s="929"/>
      <c r="F39" s="929"/>
      <c r="G39" s="929"/>
      <c r="H39" s="929"/>
      <c r="I39" s="929"/>
      <c r="J39" s="929"/>
      <c r="K39" s="929"/>
      <c r="L39" s="929"/>
      <c r="M39" s="929"/>
      <c r="N39" s="929"/>
      <c r="O39" s="929"/>
      <c r="P39" s="929"/>
      <c r="Q39" s="929"/>
      <c r="R39" s="929"/>
      <c r="S39" s="929"/>
      <c r="T39" s="929"/>
      <c r="U39" s="929"/>
      <c r="V39" s="929"/>
      <c r="W39" s="929"/>
      <c r="X39" s="929"/>
      <c r="Y39" s="929"/>
      <c r="Z39" s="929"/>
    </row>
    <row r="40" ht="15.75" customHeight="1">
      <c r="A40" s="929"/>
      <c r="B40" s="952"/>
      <c r="C40" s="952"/>
      <c r="D40" s="929"/>
      <c r="E40" s="929"/>
      <c r="F40" s="929"/>
      <c r="G40" s="929"/>
      <c r="H40" s="929"/>
      <c r="I40" s="929"/>
      <c r="J40" s="929"/>
      <c r="K40" s="929"/>
      <c r="L40" s="929"/>
      <c r="M40" s="929"/>
      <c r="N40" s="929"/>
      <c r="O40" s="929"/>
      <c r="P40" s="929"/>
      <c r="Q40" s="929"/>
      <c r="R40" s="929"/>
      <c r="S40" s="929"/>
      <c r="T40" s="929"/>
      <c r="U40" s="929"/>
      <c r="V40" s="929"/>
      <c r="W40" s="929"/>
      <c r="X40" s="929"/>
      <c r="Y40" s="929"/>
      <c r="Z40" s="929"/>
    </row>
    <row r="41" ht="15.75" customHeight="1">
      <c r="A41" s="929"/>
      <c r="B41" s="952"/>
      <c r="C41" s="952"/>
      <c r="D41" s="929"/>
      <c r="E41" s="929"/>
      <c r="F41" s="929"/>
      <c r="G41" s="929"/>
      <c r="H41" s="929"/>
      <c r="I41" s="929"/>
      <c r="J41" s="929"/>
      <c r="K41" s="929"/>
      <c r="L41" s="929"/>
      <c r="M41" s="929"/>
      <c r="N41" s="929"/>
      <c r="O41" s="929"/>
      <c r="P41" s="929"/>
      <c r="Q41" s="929"/>
      <c r="R41" s="929"/>
      <c r="S41" s="929"/>
      <c r="T41" s="929"/>
      <c r="U41" s="929"/>
      <c r="V41" s="929"/>
      <c r="W41" s="929"/>
      <c r="X41" s="929"/>
      <c r="Y41" s="929"/>
      <c r="Z41" s="929"/>
    </row>
    <row r="42" ht="15.75" customHeight="1">
      <c r="A42" s="929"/>
      <c r="B42" s="952"/>
      <c r="C42" s="952"/>
      <c r="D42" s="929"/>
      <c r="E42" s="929"/>
      <c r="F42" s="929"/>
      <c r="G42" s="929"/>
      <c r="H42" s="929"/>
      <c r="I42" s="929"/>
      <c r="J42" s="929"/>
      <c r="K42" s="929"/>
      <c r="L42" s="929"/>
      <c r="M42" s="929"/>
      <c r="N42" s="929"/>
      <c r="O42" s="929"/>
      <c r="P42" s="929"/>
      <c r="Q42" s="929"/>
      <c r="R42" s="929"/>
      <c r="S42" s="929"/>
      <c r="T42" s="929"/>
      <c r="U42" s="929"/>
      <c r="V42" s="929"/>
      <c r="W42" s="929"/>
      <c r="X42" s="929"/>
      <c r="Y42" s="929"/>
      <c r="Z42" s="929"/>
    </row>
    <row r="43" ht="15.75" customHeight="1">
      <c r="A43" s="929"/>
      <c r="B43" s="952"/>
      <c r="C43" s="952"/>
      <c r="D43" s="929"/>
      <c r="E43" s="929"/>
      <c r="F43" s="929"/>
      <c r="G43" s="929"/>
      <c r="H43" s="929"/>
      <c r="I43" s="929"/>
      <c r="J43" s="929"/>
      <c r="K43" s="929"/>
      <c r="L43" s="929"/>
      <c r="M43" s="929"/>
      <c r="N43" s="929"/>
      <c r="O43" s="929"/>
      <c r="P43" s="929"/>
      <c r="Q43" s="929"/>
      <c r="R43" s="929"/>
      <c r="S43" s="929"/>
      <c r="T43" s="929"/>
      <c r="U43" s="929"/>
      <c r="V43" s="929"/>
      <c r="W43" s="929"/>
      <c r="X43" s="929"/>
      <c r="Y43" s="929"/>
      <c r="Z43" s="929"/>
    </row>
    <row r="44" ht="15.75" customHeight="1">
      <c r="A44" s="929"/>
      <c r="B44" s="952"/>
      <c r="C44" s="952"/>
      <c r="D44" s="929"/>
      <c r="E44" s="929"/>
      <c r="F44" s="929"/>
      <c r="G44" s="929"/>
      <c r="H44" s="929"/>
      <c r="I44" s="929"/>
      <c r="J44" s="929"/>
      <c r="K44" s="929"/>
      <c r="L44" s="929"/>
      <c r="M44" s="929"/>
      <c r="N44" s="929"/>
      <c r="O44" s="929"/>
      <c r="P44" s="929"/>
      <c r="Q44" s="929"/>
      <c r="R44" s="929"/>
      <c r="S44" s="929"/>
      <c r="T44" s="929"/>
      <c r="U44" s="929"/>
      <c r="V44" s="929"/>
      <c r="W44" s="929"/>
      <c r="X44" s="929"/>
      <c r="Y44" s="929"/>
      <c r="Z44" s="929"/>
    </row>
    <row r="45" ht="15.75" customHeight="1">
      <c r="A45" s="929"/>
      <c r="B45" s="952"/>
      <c r="C45" s="952"/>
      <c r="D45" s="929"/>
      <c r="E45" s="929"/>
      <c r="F45" s="929"/>
      <c r="G45" s="929"/>
      <c r="H45" s="929"/>
      <c r="I45" s="929"/>
      <c r="J45" s="929"/>
      <c r="K45" s="929"/>
      <c r="L45" s="929"/>
      <c r="M45" s="929"/>
      <c r="N45" s="929"/>
      <c r="O45" s="929"/>
      <c r="P45" s="929"/>
      <c r="Q45" s="929"/>
      <c r="R45" s="929"/>
      <c r="S45" s="929"/>
      <c r="T45" s="929"/>
      <c r="U45" s="929"/>
      <c r="V45" s="929"/>
      <c r="W45" s="929"/>
      <c r="X45" s="929"/>
      <c r="Y45" s="929"/>
      <c r="Z45" s="929"/>
    </row>
    <row r="46" ht="15.75" customHeight="1">
      <c r="A46" s="929"/>
      <c r="B46" s="952"/>
      <c r="C46" s="952"/>
      <c r="D46" s="929"/>
      <c r="E46" s="929"/>
      <c r="F46" s="929"/>
      <c r="G46" s="929"/>
      <c r="H46" s="929"/>
      <c r="I46" s="929"/>
      <c r="J46" s="929"/>
      <c r="K46" s="929"/>
      <c r="L46" s="929"/>
      <c r="M46" s="929"/>
      <c r="N46" s="929"/>
      <c r="O46" s="929"/>
      <c r="P46" s="929"/>
      <c r="Q46" s="929"/>
      <c r="R46" s="929"/>
      <c r="S46" s="929"/>
      <c r="T46" s="929"/>
      <c r="U46" s="929"/>
      <c r="V46" s="929"/>
      <c r="W46" s="929"/>
      <c r="X46" s="929"/>
      <c r="Y46" s="929"/>
      <c r="Z46" s="929"/>
    </row>
    <row r="47" ht="15.75" customHeight="1">
      <c r="A47" s="929"/>
      <c r="B47" s="952"/>
      <c r="C47" s="952"/>
      <c r="D47" s="929"/>
      <c r="E47" s="929"/>
      <c r="F47" s="929"/>
      <c r="G47" s="929"/>
      <c r="H47" s="929"/>
      <c r="I47" s="929"/>
      <c r="J47" s="929"/>
      <c r="K47" s="929"/>
      <c r="L47" s="929"/>
      <c r="M47" s="929"/>
      <c r="N47" s="929"/>
      <c r="O47" s="929"/>
      <c r="P47" s="929"/>
      <c r="Q47" s="929"/>
      <c r="R47" s="929"/>
      <c r="S47" s="929"/>
      <c r="T47" s="929"/>
      <c r="U47" s="929"/>
      <c r="V47" s="929"/>
      <c r="W47" s="929"/>
      <c r="X47" s="929"/>
      <c r="Y47" s="929"/>
      <c r="Z47" s="929"/>
    </row>
    <row r="48" ht="15.75" customHeight="1">
      <c r="A48" s="929"/>
      <c r="B48" s="952"/>
      <c r="C48" s="952"/>
      <c r="D48" s="929"/>
      <c r="E48" s="929"/>
      <c r="F48" s="929"/>
      <c r="G48" s="929"/>
      <c r="H48" s="929"/>
      <c r="I48" s="929"/>
      <c r="J48" s="929"/>
      <c r="K48" s="929"/>
      <c r="L48" s="929"/>
      <c r="M48" s="929"/>
      <c r="N48" s="929"/>
      <c r="O48" s="929"/>
      <c r="P48" s="929"/>
      <c r="Q48" s="929"/>
      <c r="R48" s="929"/>
      <c r="S48" s="929"/>
      <c r="T48" s="929"/>
      <c r="U48" s="929"/>
      <c r="V48" s="929"/>
      <c r="W48" s="929"/>
      <c r="X48" s="929"/>
      <c r="Y48" s="929"/>
      <c r="Z48" s="929"/>
    </row>
    <row r="49" ht="15.75" customHeight="1">
      <c r="A49" s="929"/>
      <c r="B49" s="952"/>
      <c r="C49" s="952"/>
      <c r="D49" s="929"/>
      <c r="E49" s="929"/>
      <c r="F49" s="929"/>
      <c r="G49" s="929"/>
      <c r="H49" s="929"/>
      <c r="I49" s="929"/>
      <c r="J49" s="929"/>
      <c r="K49" s="929"/>
      <c r="L49" s="929"/>
      <c r="M49" s="929"/>
      <c r="N49" s="929"/>
      <c r="O49" s="929"/>
      <c r="P49" s="929"/>
      <c r="Q49" s="929"/>
      <c r="R49" s="929"/>
      <c r="S49" s="929"/>
      <c r="T49" s="929"/>
      <c r="U49" s="929"/>
      <c r="V49" s="929"/>
      <c r="W49" s="929"/>
      <c r="X49" s="929"/>
      <c r="Y49" s="929"/>
      <c r="Z49" s="929"/>
    </row>
    <row r="50" ht="15.75" customHeight="1">
      <c r="A50" s="929"/>
      <c r="B50" s="952"/>
      <c r="C50" s="952"/>
      <c r="D50" s="929"/>
      <c r="E50" s="929"/>
      <c r="F50" s="929"/>
      <c r="G50" s="929"/>
      <c r="H50" s="929"/>
      <c r="I50" s="929"/>
      <c r="J50" s="929"/>
      <c r="K50" s="929"/>
      <c r="L50" s="929"/>
      <c r="M50" s="929"/>
      <c r="N50" s="929"/>
      <c r="O50" s="929"/>
      <c r="P50" s="929"/>
      <c r="Q50" s="929"/>
      <c r="R50" s="929"/>
      <c r="S50" s="929"/>
      <c r="T50" s="929"/>
      <c r="U50" s="929"/>
      <c r="V50" s="929"/>
      <c r="W50" s="929"/>
      <c r="X50" s="929"/>
      <c r="Y50" s="929"/>
      <c r="Z50" s="929"/>
    </row>
    <row r="51" ht="15.75" customHeight="1">
      <c r="A51" s="929"/>
      <c r="B51" s="952"/>
      <c r="C51" s="952"/>
      <c r="D51" s="929"/>
      <c r="E51" s="929"/>
      <c r="F51" s="929"/>
      <c r="G51" s="929"/>
      <c r="H51" s="929"/>
      <c r="I51" s="929"/>
      <c r="J51" s="929"/>
      <c r="K51" s="929"/>
      <c r="L51" s="929"/>
      <c r="M51" s="929"/>
      <c r="N51" s="929"/>
      <c r="O51" s="929"/>
      <c r="P51" s="929"/>
      <c r="Q51" s="929"/>
      <c r="R51" s="929"/>
      <c r="S51" s="929"/>
      <c r="T51" s="929"/>
      <c r="U51" s="929"/>
      <c r="V51" s="929"/>
      <c r="W51" s="929"/>
      <c r="X51" s="929"/>
      <c r="Y51" s="929"/>
      <c r="Z51" s="929"/>
    </row>
    <row r="52" ht="15.75" customHeight="1">
      <c r="A52" s="929"/>
      <c r="B52" s="952"/>
      <c r="C52" s="952"/>
      <c r="D52" s="929"/>
      <c r="E52" s="929"/>
      <c r="F52" s="929"/>
      <c r="G52" s="929"/>
      <c r="H52" s="929"/>
      <c r="I52" s="929"/>
      <c r="J52" s="929"/>
      <c r="K52" s="929"/>
      <c r="L52" s="929"/>
      <c r="M52" s="929"/>
      <c r="N52" s="929"/>
      <c r="O52" s="929"/>
      <c r="P52" s="929"/>
      <c r="Q52" s="929"/>
      <c r="R52" s="929"/>
      <c r="S52" s="929"/>
      <c r="T52" s="929"/>
      <c r="U52" s="929"/>
      <c r="V52" s="929"/>
      <c r="W52" s="929"/>
      <c r="X52" s="929"/>
      <c r="Y52" s="929"/>
      <c r="Z52" s="929"/>
    </row>
    <row r="53" ht="15.75" customHeight="1">
      <c r="A53" s="929"/>
      <c r="B53" s="952"/>
      <c r="C53" s="952"/>
      <c r="D53" s="929"/>
      <c r="E53" s="929"/>
      <c r="F53" s="929"/>
      <c r="G53" s="929"/>
      <c r="H53" s="929"/>
      <c r="I53" s="929"/>
      <c r="J53" s="929"/>
      <c r="K53" s="929"/>
      <c r="L53" s="929"/>
      <c r="M53" s="929"/>
      <c r="N53" s="929"/>
      <c r="O53" s="929"/>
      <c r="P53" s="929"/>
      <c r="Q53" s="929"/>
      <c r="R53" s="929"/>
      <c r="S53" s="929"/>
      <c r="T53" s="929"/>
      <c r="U53" s="929"/>
      <c r="V53" s="929"/>
      <c r="W53" s="929"/>
      <c r="X53" s="929"/>
      <c r="Y53" s="929"/>
      <c r="Z53" s="929"/>
    </row>
    <row r="54" ht="15.75" customHeight="1">
      <c r="A54" s="929"/>
      <c r="B54" s="952"/>
      <c r="C54" s="952"/>
      <c r="D54" s="929"/>
      <c r="E54" s="929"/>
      <c r="F54" s="929"/>
      <c r="G54" s="929"/>
      <c r="H54" s="929"/>
      <c r="I54" s="929"/>
      <c r="J54" s="929"/>
      <c r="K54" s="929"/>
      <c r="L54" s="929"/>
      <c r="M54" s="929"/>
      <c r="N54" s="929"/>
      <c r="O54" s="929"/>
      <c r="P54" s="929"/>
      <c r="Q54" s="929"/>
      <c r="R54" s="929"/>
      <c r="S54" s="929"/>
      <c r="T54" s="929"/>
      <c r="U54" s="929"/>
      <c r="V54" s="929"/>
      <c r="W54" s="929"/>
      <c r="X54" s="929"/>
      <c r="Y54" s="929"/>
      <c r="Z54" s="929"/>
    </row>
    <row r="55" ht="15.75" customHeight="1">
      <c r="A55" s="929"/>
      <c r="B55" s="952"/>
      <c r="C55" s="952"/>
      <c r="D55" s="929"/>
      <c r="E55" s="929"/>
      <c r="F55" s="929"/>
      <c r="G55" s="929"/>
      <c r="H55" s="929"/>
      <c r="I55" s="929"/>
      <c r="J55" s="929"/>
      <c r="K55" s="929"/>
      <c r="L55" s="929"/>
      <c r="M55" s="929"/>
      <c r="N55" s="929"/>
      <c r="O55" s="929"/>
      <c r="P55" s="929"/>
      <c r="Q55" s="929"/>
      <c r="R55" s="929"/>
      <c r="S55" s="929"/>
      <c r="T55" s="929"/>
      <c r="U55" s="929"/>
      <c r="V55" s="929"/>
      <c r="W55" s="929"/>
      <c r="X55" s="929"/>
      <c r="Y55" s="929"/>
      <c r="Z55" s="929"/>
    </row>
    <row r="56" ht="15.75" customHeight="1">
      <c r="A56" s="929"/>
      <c r="B56" s="952"/>
      <c r="C56" s="952"/>
      <c r="D56" s="929"/>
      <c r="E56" s="929"/>
      <c r="F56" s="929"/>
      <c r="G56" s="929"/>
      <c r="H56" s="929"/>
      <c r="I56" s="929"/>
      <c r="J56" s="929"/>
      <c r="K56" s="929"/>
      <c r="L56" s="929"/>
      <c r="M56" s="929"/>
      <c r="N56" s="929"/>
      <c r="O56" s="929"/>
      <c r="P56" s="929"/>
      <c r="Q56" s="929"/>
      <c r="R56" s="929"/>
      <c r="S56" s="929"/>
      <c r="T56" s="929"/>
      <c r="U56" s="929"/>
      <c r="V56" s="929"/>
      <c r="W56" s="929"/>
      <c r="X56" s="929"/>
      <c r="Y56" s="929"/>
      <c r="Z56" s="929"/>
    </row>
    <row r="57" ht="15.75" customHeight="1">
      <c r="A57" s="929"/>
      <c r="B57" s="952"/>
      <c r="C57" s="952"/>
      <c r="D57" s="929"/>
      <c r="E57" s="929"/>
      <c r="F57" s="929"/>
      <c r="G57" s="929"/>
      <c r="H57" s="929"/>
      <c r="I57" s="929"/>
      <c r="J57" s="929"/>
      <c r="K57" s="929"/>
      <c r="L57" s="929"/>
      <c r="M57" s="929"/>
      <c r="N57" s="929"/>
      <c r="O57" s="929"/>
      <c r="P57" s="929"/>
      <c r="Q57" s="929"/>
      <c r="R57" s="929"/>
      <c r="S57" s="929"/>
      <c r="T57" s="929"/>
      <c r="U57" s="929"/>
      <c r="V57" s="929"/>
      <c r="W57" s="929"/>
      <c r="X57" s="929"/>
      <c r="Y57" s="929"/>
      <c r="Z57" s="929"/>
    </row>
    <row r="58" ht="15.75" customHeight="1">
      <c r="A58" s="929"/>
      <c r="B58" s="952"/>
      <c r="C58" s="952"/>
      <c r="D58" s="929"/>
      <c r="E58" s="929"/>
      <c r="F58" s="929"/>
      <c r="G58" s="929"/>
      <c r="H58" s="929"/>
      <c r="I58" s="929"/>
      <c r="J58" s="929"/>
      <c r="K58" s="929"/>
      <c r="L58" s="929"/>
      <c r="M58" s="929"/>
      <c r="N58" s="929"/>
      <c r="O58" s="929"/>
      <c r="P58" s="929"/>
      <c r="Q58" s="929"/>
      <c r="R58" s="929"/>
      <c r="S58" s="929"/>
      <c r="T58" s="929"/>
      <c r="U58" s="929"/>
      <c r="V58" s="929"/>
      <c r="W58" s="929"/>
      <c r="X58" s="929"/>
      <c r="Y58" s="929"/>
      <c r="Z58" s="929"/>
    </row>
    <row r="59" ht="15.75" customHeight="1">
      <c r="A59" s="929"/>
      <c r="B59" s="952"/>
      <c r="C59" s="952"/>
      <c r="D59" s="929"/>
      <c r="E59" s="929"/>
      <c r="F59" s="929"/>
      <c r="G59" s="929"/>
      <c r="H59" s="929"/>
      <c r="I59" s="929"/>
      <c r="J59" s="929"/>
      <c r="K59" s="929"/>
      <c r="L59" s="929"/>
      <c r="M59" s="929"/>
      <c r="N59" s="929"/>
      <c r="O59" s="929"/>
      <c r="P59" s="929"/>
      <c r="Q59" s="929"/>
      <c r="R59" s="929"/>
      <c r="S59" s="929"/>
      <c r="T59" s="929"/>
      <c r="U59" s="929"/>
      <c r="V59" s="929"/>
      <c r="W59" s="929"/>
      <c r="X59" s="929"/>
      <c r="Y59" s="929"/>
      <c r="Z59" s="929"/>
    </row>
    <row r="60" ht="15.75" customHeight="1">
      <c r="A60" s="929"/>
      <c r="B60" s="952"/>
      <c r="C60" s="952"/>
      <c r="D60" s="929"/>
      <c r="E60" s="929"/>
      <c r="F60" s="929"/>
      <c r="G60" s="929"/>
      <c r="H60" s="929"/>
      <c r="I60" s="929"/>
      <c r="J60" s="929"/>
      <c r="K60" s="929"/>
      <c r="L60" s="929"/>
      <c r="M60" s="929"/>
      <c r="N60" s="929"/>
      <c r="O60" s="929"/>
      <c r="P60" s="929"/>
      <c r="Q60" s="929"/>
      <c r="R60" s="929"/>
      <c r="S60" s="929"/>
      <c r="T60" s="929"/>
      <c r="U60" s="929"/>
      <c r="V60" s="929"/>
      <c r="W60" s="929"/>
      <c r="X60" s="929"/>
      <c r="Y60" s="929"/>
      <c r="Z60" s="929"/>
    </row>
    <row r="61" ht="15.75" customHeight="1">
      <c r="A61" s="929"/>
      <c r="B61" s="952"/>
      <c r="C61" s="952"/>
      <c r="D61" s="929"/>
      <c r="E61" s="929"/>
      <c r="F61" s="929"/>
      <c r="G61" s="929"/>
      <c r="H61" s="929"/>
      <c r="I61" s="929"/>
      <c r="J61" s="929"/>
      <c r="K61" s="929"/>
      <c r="L61" s="929"/>
      <c r="M61" s="929"/>
      <c r="N61" s="929"/>
      <c r="O61" s="929"/>
      <c r="P61" s="929"/>
      <c r="Q61" s="929"/>
      <c r="R61" s="929"/>
      <c r="S61" s="929"/>
      <c r="T61" s="929"/>
      <c r="U61" s="929"/>
      <c r="V61" s="929"/>
      <c r="W61" s="929"/>
      <c r="X61" s="929"/>
      <c r="Y61" s="929"/>
      <c r="Z61" s="929"/>
    </row>
    <row r="62" ht="15.75" customHeight="1">
      <c r="A62" s="929"/>
      <c r="B62" s="952"/>
      <c r="C62" s="952"/>
      <c r="D62" s="929"/>
      <c r="E62" s="929"/>
      <c r="F62" s="929"/>
      <c r="G62" s="929"/>
      <c r="H62" s="929"/>
      <c r="I62" s="929"/>
      <c r="J62" s="929"/>
      <c r="K62" s="929"/>
      <c r="L62" s="929"/>
      <c r="M62" s="929"/>
      <c r="N62" s="929"/>
      <c r="O62" s="929"/>
      <c r="P62" s="929"/>
      <c r="Q62" s="929"/>
      <c r="R62" s="929"/>
      <c r="S62" s="929"/>
      <c r="T62" s="929"/>
      <c r="U62" s="929"/>
      <c r="V62" s="929"/>
      <c r="W62" s="929"/>
      <c r="X62" s="929"/>
      <c r="Y62" s="929"/>
      <c r="Z62" s="929"/>
    </row>
    <row r="63" ht="15.75" customHeight="1">
      <c r="A63" s="929"/>
      <c r="B63" s="952"/>
      <c r="C63" s="952"/>
      <c r="D63" s="929"/>
      <c r="E63" s="929"/>
      <c r="F63" s="929"/>
      <c r="G63" s="929"/>
      <c r="H63" s="929"/>
      <c r="I63" s="929"/>
      <c r="J63" s="929"/>
      <c r="K63" s="929"/>
      <c r="L63" s="929"/>
      <c r="M63" s="929"/>
      <c r="N63" s="929"/>
      <c r="O63" s="929"/>
      <c r="P63" s="929"/>
      <c r="Q63" s="929"/>
      <c r="R63" s="929"/>
      <c r="S63" s="929"/>
      <c r="T63" s="929"/>
      <c r="U63" s="929"/>
      <c r="V63" s="929"/>
      <c r="W63" s="929"/>
      <c r="X63" s="929"/>
      <c r="Y63" s="929"/>
      <c r="Z63" s="929"/>
    </row>
    <row r="64" ht="15.75" customHeight="1">
      <c r="A64" s="929"/>
      <c r="B64" s="952"/>
      <c r="C64" s="952"/>
      <c r="D64" s="929"/>
      <c r="E64" s="929"/>
      <c r="F64" s="929"/>
      <c r="G64" s="929"/>
      <c r="H64" s="929"/>
      <c r="I64" s="929"/>
      <c r="J64" s="929"/>
      <c r="K64" s="929"/>
      <c r="L64" s="929"/>
      <c r="M64" s="929"/>
      <c r="N64" s="929"/>
      <c r="O64" s="929"/>
      <c r="P64" s="929"/>
      <c r="Q64" s="929"/>
      <c r="R64" s="929"/>
      <c r="S64" s="929"/>
      <c r="T64" s="929"/>
      <c r="U64" s="929"/>
      <c r="V64" s="929"/>
      <c r="W64" s="929"/>
      <c r="X64" s="929"/>
      <c r="Y64" s="929"/>
      <c r="Z64" s="929"/>
    </row>
    <row r="65" ht="15.75" customHeight="1">
      <c r="A65" s="929"/>
      <c r="B65" s="952"/>
      <c r="C65" s="952"/>
      <c r="D65" s="929"/>
      <c r="E65" s="929"/>
      <c r="F65" s="929"/>
      <c r="G65" s="929"/>
      <c r="H65" s="929"/>
      <c r="I65" s="929"/>
      <c r="J65" s="929"/>
      <c r="K65" s="929"/>
      <c r="L65" s="929"/>
      <c r="M65" s="929"/>
      <c r="N65" s="929"/>
      <c r="O65" s="929"/>
      <c r="P65" s="929"/>
      <c r="Q65" s="929"/>
      <c r="R65" s="929"/>
      <c r="S65" s="929"/>
      <c r="T65" s="929"/>
      <c r="U65" s="929"/>
      <c r="V65" s="929"/>
      <c r="W65" s="929"/>
      <c r="X65" s="929"/>
      <c r="Y65" s="929"/>
      <c r="Z65" s="929"/>
    </row>
    <row r="66" ht="15.75" customHeight="1">
      <c r="A66" s="929"/>
      <c r="B66" s="952"/>
      <c r="C66" s="952"/>
      <c r="D66" s="929"/>
      <c r="E66" s="929"/>
      <c r="F66" s="929"/>
      <c r="G66" s="929"/>
      <c r="H66" s="929"/>
      <c r="I66" s="929"/>
      <c r="J66" s="929"/>
      <c r="K66" s="929"/>
      <c r="L66" s="929"/>
      <c r="M66" s="929"/>
      <c r="N66" s="929"/>
      <c r="O66" s="929"/>
      <c r="P66" s="929"/>
      <c r="Q66" s="929"/>
      <c r="R66" s="929"/>
      <c r="S66" s="929"/>
      <c r="T66" s="929"/>
      <c r="U66" s="929"/>
      <c r="V66" s="929"/>
      <c r="W66" s="929"/>
      <c r="X66" s="929"/>
      <c r="Y66" s="929"/>
      <c r="Z66" s="929"/>
    </row>
    <row r="67" ht="15.75" customHeight="1">
      <c r="A67" s="929"/>
      <c r="B67" s="952"/>
      <c r="C67" s="952"/>
      <c r="D67" s="929"/>
      <c r="E67" s="929"/>
      <c r="F67" s="929"/>
      <c r="G67" s="929"/>
      <c r="H67" s="929"/>
      <c r="I67" s="929"/>
      <c r="J67" s="929"/>
      <c r="K67" s="929"/>
      <c r="L67" s="929"/>
      <c r="M67" s="929"/>
      <c r="N67" s="929"/>
      <c r="O67" s="929"/>
      <c r="P67" s="929"/>
      <c r="Q67" s="929"/>
      <c r="R67" s="929"/>
      <c r="S67" s="929"/>
      <c r="T67" s="929"/>
      <c r="U67" s="929"/>
      <c r="V67" s="929"/>
      <c r="W67" s="929"/>
      <c r="X67" s="929"/>
      <c r="Y67" s="929"/>
      <c r="Z67" s="929"/>
    </row>
    <row r="68" ht="15.75" customHeight="1">
      <c r="A68" s="929"/>
      <c r="B68" s="952"/>
      <c r="C68" s="952"/>
      <c r="D68" s="929"/>
      <c r="E68" s="929"/>
      <c r="F68" s="929"/>
      <c r="G68" s="929"/>
      <c r="H68" s="929"/>
      <c r="I68" s="929"/>
      <c r="J68" s="929"/>
      <c r="K68" s="929"/>
      <c r="L68" s="929"/>
      <c r="M68" s="929"/>
      <c r="N68" s="929"/>
      <c r="O68" s="929"/>
      <c r="P68" s="929"/>
      <c r="Q68" s="929"/>
      <c r="R68" s="929"/>
      <c r="S68" s="929"/>
      <c r="T68" s="929"/>
      <c r="U68" s="929"/>
      <c r="V68" s="929"/>
      <c r="W68" s="929"/>
      <c r="X68" s="929"/>
      <c r="Y68" s="929"/>
      <c r="Z68" s="929"/>
    </row>
    <row r="69" ht="15.75" customHeight="1">
      <c r="A69" s="929"/>
      <c r="B69" s="952"/>
      <c r="C69" s="952"/>
      <c r="D69" s="929"/>
      <c r="E69" s="929"/>
      <c r="F69" s="929"/>
      <c r="G69" s="929"/>
      <c r="H69" s="929"/>
      <c r="I69" s="929"/>
      <c r="J69" s="929"/>
      <c r="K69" s="929"/>
      <c r="L69" s="929"/>
      <c r="M69" s="929"/>
      <c r="N69" s="929"/>
      <c r="O69" s="929"/>
      <c r="P69" s="929"/>
      <c r="Q69" s="929"/>
      <c r="R69" s="929"/>
      <c r="S69" s="929"/>
      <c r="T69" s="929"/>
      <c r="U69" s="929"/>
      <c r="V69" s="929"/>
      <c r="W69" s="929"/>
      <c r="X69" s="929"/>
      <c r="Y69" s="929"/>
      <c r="Z69" s="929"/>
    </row>
    <row r="70" ht="15.75" customHeight="1">
      <c r="A70" s="929"/>
      <c r="B70" s="952"/>
      <c r="C70" s="952"/>
      <c r="D70" s="929"/>
      <c r="E70" s="929"/>
      <c r="F70" s="929"/>
      <c r="G70" s="929"/>
      <c r="H70" s="929"/>
      <c r="I70" s="929"/>
      <c r="J70" s="929"/>
      <c r="K70" s="929"/>
      <c r="L70" s="929"/>
      <c r="M70" s="929"/>
      <c r="N70" s="929"/>
      <c r="O70" s="929"/>
      <c r="P70" s="929"/>
      <c r="Q70" s="929"/>
      <c r="R70" s="929"/>
      <c r="S70" s="929"/>
      <c r="T70" s="929"/>
      <c r="U70" s="929"/>
      <c r="V70" s="929"/>
      <c r="W70" s="929"/>
      <c r="X70" s="929"/>
      <c r="Y70" s="929"/>
      <c r="Z70" s="929"/>
    </row>
    <row r="71" ht="15.75" customHeight="1">
      <c r="A71" s="929"/>
      <c r="B71" s="952"/>
      <c r="C71" s="952"/>
      <c r="D71" s="929"/>
      <c r="E71" s="929"/>
      <c r="F71" s="929"/>
      <c r="G71" s="929"/>
      <c r="H71" s="929"/>
      <c r="I71" s="929"/>
      <c r="J71" s="929"/>
      <c r="K71" s="929"/>
      <c r="L71" s="929"/>
      <c r="M71" s="929"/>
      <c r="N71" s="929"/>
      <c r="O71" s="929"/>
      <c r="P71" s="929"/>
      <c r="Q71" s="929"/>
      <c r="R71" s="929"/>
      <c r="S71" s="929"/>
      <c r="T71" s="929"/>
      <c r="U71" s="929"/>
      <c r="V71" s="929"/>
      <c r="W71" s="929"/>
      <c r="X71" s="929"/>
      <c r="Y71" s="929"/>
      <c r="Z71" s="929"/>
    </row>
    <row r="72" ht="15.75" customHeight="1">
      <c r="A72" s="929"/>
      <c r="B72" s="952"/>
      <c r="C72" s="952"/>
      <c r="D72" s="929"/>
      <c r="E72" s="929"/>
      <c r="F72" s="929"/>
      <c r="G72" s="929"/>
      <c r="H72" s="929"/>
      <c r="I72" s="929"/>
      <c r="J72" s="929"/>
      <c r="K72" s="929"/>
      <c r="L72" s="929"/>
      <c r="M72" s="929"/>
      <c r="N72" s="929"/>
      <c r="O72" s="929"/>
      <c r="P72" s="929"/>
      <c r="Q72" s="929"/>
      <c r="R72" s="929"/>
      <c r="S72" s="929"/>
      <c r="T72" s="929"/>
      <c r="U72" s="929"/>
      <c r="V72" s="929"/>
      <c r="W72" s="929"/>
      <c r="X72" s="929"/>
      <c r="Y72" s="929"/>
      <c r="Z72" s="929"/>
    </row>
    <row r="73" ht="15.75" customHeight="1">
      <c r="A73" s="929"/>
      <c r="B73" s="952"/>
      <c r="C73" s="952"/>
      <c r="D73" s="929"/>
      <c r="E73" s="929"/>
      <c r="F73" s="929"/>
      <c r="G73" s="929"/>
      <c r="H73" s="929"/>
      <c r="I73" s="929"/>
      <c r="J73" s="929"/>
      <c r="K73" s="929"/>
      <c r="L73" s="929"/>
      <c r="M73" s="929"/>
      <c r="N73" s="929"/>
      <c r="O73" s="929"/>
      <c r="P73" s="929"/>
      <c r="Q73" s="929"/>
      <c r="R73" s="929"/>
      <c r="S73" s="929"/>
      <c r="T73" s="929"/>
      <c r="U73" s="929"/>
      <c r="V73" s="929"/>
      <c r="W73" s="929"/>
      <c r="X73" s="929"/>
      <c r="Y73" s="929"/>
      <c r="Z73" s="929"/>
    </row>
    <row r="74" ht="15.75" customHeight="1">
      <c r="A74" s="929"/>
      <c r="B74" s="952"/>
      <c r="C74" s="952"/>
      <c r="D74" s="929"/>
      <c r="E74" s="929"/>
      <c r="F74" s="929"/>
      <c r="G74" s="929"/>
      <c r="H74" s="929"/>
      <c r="I74" s="929"/>
      <c r="J74" s="929"/>
      <c r="K74" s="929"/>
      <c r="L74" s="929"/>
      <c r="M74" s="929"/>
      <c r="N74" s="929"/>
      <c r="O74" s="929"/>
      <c r="P74" s="929"/>
      <c r="Q74" s="929"/>
      <c r="R74" s="929"/>
      <c r="S74" s="929"/>
      <c r="T74" s="929"/>
      <c r="U74" s="929"/>
      <c r="V74" s="929"/>
      <c r="W74" s="929"/>
      <c r="X74" s="929"/>
      <c r="Y74" s="929"/>
      <c r="Z74" s="929"/>
    </row>
    <row r="75" ht="15.75" customHeight="1">
      <c r="A75" s="929"/>
      <c r="B75" s="952"/>
      <c r="C75" s="952"/>
      <c r="D75" s="929"/>
      <c r="E75" s="929"/>
      <c r="F75" s="929"/>
      <c r="G75" s="929"/>
      <c r="H75" s="929"/>
      <c r="I75" s="929"/>
      <c r="J75" s="929"/>
      <c r="K75" s="929"/>
      <c r="L75" s="929"/>
      <c r="M75" s="929"/>
      <c r="N75" s="929"/>
      <c r="O75" s="929"/>
      <c r="P75" s="929"/>
      <c r="Q75" s="929"/>
      <c r="R75" s="929"/>
      <c r="S75" s="929"/>
      <c r="T75" s="929"/>
      <c r="U75" s="929"/>
      <c r="V75" s="929"/>
      <c r="W75" s="929"/>
      <c r="X75" s="929"/>
      <c r="Y75" s="929"/>
      <c r="Z75" s="929"/>
    </row>
    <row r="76" ht="15.75" customHeight="1">
      <c r="A76" s="929"/>
      <c r="B76" s="952"/>
      <c r="C76" s="952"/>
      <c r="D76" s="929"/>
      <c r="E76" s="929"/>
      <c r="F76" s="929"/>
      <c r="G76" s="929"/>
      <c r="H76" s="929"/>
      <c r="I76" s="929"/>
      <c r="J76" s="929"/>
      <c r="K76" s="929"/>
      <c r="L76" s="929"/>
      <c r="M76" s="929"/>
      <c r="N76" s="929"/>
      <c r="O76" s="929"/>
      <c r="P76" s="929"/>
      <c r="Q76" s="929"/>
      <c r="R76" s="929"/>
      <c r="S76" s="929"/>
      <c r="T76" s="929"/>
      <c r="U76" s="929"/>
      <c r="V76" s="929"/>
      <c r="W76" s="929"/>
      <c r="X76" s="929"/>
      <c r="Y76" s="929"/>
      <c r="Z76" s="929"/>
    </row>
    <row r="77" ht="15.75" customHeight="1">
      <c r="A77" s="929"/>
      <c r="B77" s="952"/>
      <c r="C77" s="952"/>
      <c r="D77" s="929"/>
      <c r="E77" s="929"/>
      <c r="F77" s="929"/>
      <c r="G77" s="929"/>
      <c r="H77" s="929"/>
      <c r="I77" s="929"/>
      <c r="J77" s="929"/>
      <c r="K77" s="929"/>
      <c r="L77" s="929"/>
      <c r="M77" s="929"/>
      <c r="N77" s="929"/>
      <c r="O77" s="929"/>
      <c r="P77" s="929"/>
      <c r="Q77" s="929"/>
      <c r="R77" s="929"/>
      <c r="S77" s="929"/>
      <c r="T77" s="929"/>
      <c r="U77" s="929"/>
      <c r="V77" s="929"/>
      <c r="W77" s="929"/>
      <c r="X77" s="929"/>
      <c r="Y77" s="929"/>
      <c r="Z77" s="929"/>
    </row>
    <row r="78" ht="15.75" customHeight="1">
      <c r="A78" s="929"/>
      <c r="B78" s="952"/>
      <c r="C78" s="952"/>
      <c r="D78" s="929"/>
      <c r="E78" s="929"/>
      <c r="F78" s="929"/>
      <c r="G78" s="929"/>
      <c r="H78" s="929"/>
      <c r="I78" s="929"/>
      <c r="J78" s="929"/>
      <c r="K78" s="929"/>
      <c r="L78" s="929"/>
      <c r="M78" s="929"/>
      <c r="N78" s="929"/>
      <c r="O78" s="929"/>
      <c r="P78" s="929"/>
      <c r="Q78" s="929"/>
      <c r="R78" s="929"/>
      <c r="S78" s="929"/>
      <c r="T78" s="929"/>
      <c r="U78" s="929"/>
      <c r="V78" s="929"/>
      <c r="W78" s="929"/>
      <c r="X78" s="929"/>
      <c r="Y78" s="929"/>
      <c r="Z78" s="929"/>
    </row>
    <row r="79" ht="15.75" customHeight="1">
      <c r="A79" s="929"/>
      <c r="B79" s="952"/>
      <c r="C79" s="952"/>
      <c r="D79" s="929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29"/>
      <c r="R79" s="929"/>
      <c r="S79" s="929"/>
      <c r="T79" s="929"/>
      <c r="U79" s="929"/>
      <c r="V79" s="929"/>
      <c r="W79" s="929"/>
      <c r="X79" s="929"/>
      <c r="Y79" s="929"/>
      <c r="Z79" s="929"/>
    </row>
    <row r="80" ht="15.75" customHeight="1">
      <c r="A80" s="929"/>
      <c r="B80" s="952"/>
      <c r="C80" s="952"/>
      <c r="D80" s="929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29"/>
      <c r="U80" s="929"/>
      <c r="V80" s="929"/>
      <c r="W80" s="929"/>
      <c r="X80" s="929"/>
      <c r="Y80" s="929"/>
      <c r="Z80" s="929"/>
    </row>
    <row r="81" ht="15.75" customHeight="1">
      <c r="A81" s="929"/>
      <c r="B81" s="952"/>
      <c r="C81" s="952"/>
      <c r="D81" s="929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29"/>
      <c r="R81" s="929"/>
      <c r="S81" s="929"/>
      <c r="T81" s="929"/>
      <c r="U81" s="929"/>
      <c r="V81" s="929"/>
      <c r="W81" s="929"/>
      <c r="X81" s="929"/>
      <c r="Y81" s="929"/>
      <c r="Z81" s="929"/>
    </row>
    <row r="82" ht="15.75" customHeight="1">
      <c r="A82" s="929"/>
      <c r="B82" s="952"/>
      <c r="C82" s="952"/>
      <c r="D82" s="929"/>
      <c r="E82" s="929"/>
      <c r="F82" s="929"/>
      <c r="G82" s="929"/>
      <c r="H82" s="929"/>
      <c r="I82" s="929"/>
      <c r="J82" s="929"/>
      <c r="K82" s="929"/>
      <c r="L82" s="929"/>
      <c r="M82" s="929"/>
      <c r="N82" s="929"/>
      <c r="O82" s="929"/>
      <c r="P82" s="929"/>
      <c r="Q82" s="929"/>
      <c r="R82" s="929"/>
      <c r="S82" s="929"/>
      <c r="T82" s="929"/>
      <c r="U82" s="929"/>
      <c r="V82" s="929"/>
      <c r="W82" s="929"/>
      <c r="X82" s="929"/>
      <c r="Y82" s="929"/>
      <c r="Z82" s="929"/>
    </row>
    <row r="83" ht="15.75" customHeight="1">
      <c r="A83" s="929"/>
      <c r="B83" s="952"/>
      <c r="C83" s="952"/>
      <c r="D83" s="929"/>
      <c r="E83" s="929"/>
      <c r="F83" s="929"/>
      <c r="G83" s="929"/>
      <c r="H83" s="929"/>
      <c r="I83" s="929"/>
      <c r="J83" s="929"/>
      <c r="K83" s="929"/>
      <c r="L83" s="929"/>
      <c r="M83" s="929"/>
      <c r="N83" s="929"/>
      <c r="O83" s="929"/>
      <c r="P83" s="929"/>
      <c r="Q83" s="929"/>
      <c r="R83" s="929"/>
      <c r="S83" s="929"/>
      <c r="T83" s="929"/>
      <c r="U83" s="929"/>
      <c r="V83" s="929"/>
      <c r="W83" s="929"/>
      <c r="X83" s="929"/>
      <c r="Y83" s="929"/>
      <c r="Z83" s="929"/>
    </row>
    <row r="84" ht="15.75" customHeight="1">
      <c r="A84" s="929"/>
      <c r="B84" s="952"/>
      <c r="C84" s="952"/>
      <c r="D84" s="929"/>
      <c r="E84" s="929"/>
      <c r="F84" s="929"/>
      <c r="G84" s="929"/>
      <c r="H84" s="929"/>
      <c r="I84" s="929"/>
      <c r="J84" s="929"/>
      <c r="K84" s="929"/>
      <c r="L84" s="929"/>
      <c r="M84" s="929"/>
      <c r="N84" s="929"/>
      <c r="O84" s="929"/>
      <c r="P84" s="929"/>
      <c r="Q84" s="929"/>
      <c r="R84" s="929"/>
      <c r="S84" s="929"/>
      <c r="T84" s="929"/>
      <c r="U84" s="929"/>
      <c r="V84" s="929"/>
      <c r="W84" s="929"/>
      <c r="X84" s="929"/>
      <c r="Y84" s="929"/>
      <c r="Z84" s="929"/>
    </row>
    <row r="85" ht="15.75" customHeight="1">
      <c r="A85" s="929"/>
      <c r="B85" s="952"/>
      <c r="C85" s="952"/>
      <c r="D85" s="929"/>
      <c r="E85" s="929"/>
      <c r="F85" s="929"/>
      <c r="G85" s="929"/>
      <c r="H85" s="929"/>
      <c r="I85" s="929"/>
      <c r="J85" s="929"/>
      <c r="K85" s="929"/>
      <c r="L85" s="929"/>
      <c r="M85" s="929"/>
      <c r="N85" s="929"/>
      <c r="O85" s="929"/>
      <c r="P85" s="929"/>
      <c r="Q85" s="929"/>
      <c r="R85" s="929"/>
      <c r="S85" s="929"/>
      <c r="T85" s="929"/>
      <c r="U85" s="929"/>
      <c r="V85" s="929"/>
      <c r="W85" s="929"/>
      <c r="X85" s="929"/>
      <c r="Y85" s="929"/>
      <c r="Z85" s="929"/>
    </row>
    <row r="86" ht="15.75" customHeight="1">
      <c r="A86" s="929"/>
      <c r="B86" s="952"/>
      <c r="C86" s="952"/>
      <c r="D86" s="929"/>
      <c r="E86" s="929"/>
      <c r="F86" s="929"/>
      <c r="G86" s="929"/>
      <c r="H86" s="929"/>
      <c r="I86" s="929"/>
      <c r="J86" s="929"/>
      <c r="K86" s="929"/>
      <c r="L86" s="929"/>
      <c r="M86" s="929"/>
      <c r="N86" s="929"/>
      <c r="O86" s="929"/>
      <c r="P86" s="929"/>
      <c r="Q86" s="929"/>
      <c r="R86" s="929"/>
      <c r="S86" s="929"/>
      <c r="T86" s="929"/>
      <c r="U86" s="929"/>
      <c r="V86" s="929"/>
      <c r="W86" s="929"/>
      <c r="X86" s="929"/>
      <c r="Y86" s="929"/>
      <c r="Z86" s="929"/>
    </row>
    <row r="87" ht="15.75" customHeight="1">
      <c r="A87" s="929"/>
      <c r="B87" s="952"/>
      <c r="C87" s="952"/>
      <c r="D87" s="929"/>
      <c r="E87" s="929"/>
      <c r="F87" s="929"/>
      <c r="G87" s="929"/>
      <c r="H87" s="929"/>
      <c r="I87" s="929"/>
      <c r="J87" s="929"/>
      <c r="K87" s="929"/>
      <c r="L87" s="929"/>
      <c r="M87" s="929"/>
      <c r="N87" s="929"/>
      <c r="O87" s="929"/>
      <c r="P87" s="929"/>
      <c r="Q87" s="929"/>
      <c r="R87" s="929"/>
      <c r="S87" s="929"/>
      <c r="T87" s="929"/>
      <c r="U87" s="929"/>
      <c r="V87" s="929"/>
      <c r="W87" s="929"/>
      <c r="X87" s="929"/>
      <c r="Y87" s="929"/>
      <c r="Z87" s="929"/>
    </row>
    <row r="88" ht="15.75" customHeight="1">
      <c r="A88" s="929"/>
      <c r="B88" s="952"/>
      <c r="C88" s="952"/>
      <c r="D88" s="929"/>
      <c r="E88" s="929"/>
      <c r="F88" s="929"/>
      <c r="G88" s="929"/>
      <c r="H88" s="929"/>
      <c r="I88" s="929"/>
      <c r="J88" s="929"/>
      <c r="K88" s="929"/>
      <c r="L88" s="929"/>
      <c r="M88" s="929"/>
      <c r="N88" s="929"/>
      <c r="O88" s="929"/>
      <c r="P88" s="929"/>
      <c r="Q88" s="929"/>
      <c r="R88" s="929"/>
      <c r="S88" s="929"/>
      <c r="T88" s="929"/>
      <c r="U88" s="929"/>
      <c r="V88" s="929"/>
      <c r="W88" s="929"/>
      <c r="X88" s="929"/>
      <c r="Y88" s="929"/>
      <c r="Z88" s="929"/>
    </row>
    <row r="89" ht="15.75" customHeight="1">
      <c r="A89" s="929"/>
      <c r="B89" s="952"/>
      <c r="C89" s="952"/>
      <c r="D89" s="929"/>
      <c r="E89" s="929"/>
      <c r="F89" s="929"/>
      <c r="G89" s="929"/>
      <c r="H89" s="929"/>
      <c r="I89" s="929"/>
      <c r="J89" s="929"/>
      <c r="K89" s="929"/>
      <c r="L89" s="929"/>
      <c r="M89" s="929"/>
      <c r="N89" s="929"/>
      <c r="O89" s="929"/>
      <c r="P89" s="929"/>
      <c r="Q89" s="929"/>
      <c r="R89" s="929"/>
      <c r="S89" s="929"/>
      <c r="T89" s="929"/>
      <c r="U89" s="929"/>
      <c r="V89" s="929"/>
      <c r="W89" s="929"/>
      <c r="X89" s="929"/>
      <c r="Y89" s="929"/>
      <c r="Z89" s="929"/>
    </row>
    <row r="90" ht="15.75" customHeight="1">
      <c r="A90" s="929"/>
      <c r="B90" s="952"/>
      <c r="C90" s="952"/>
      <c r="D90" s="929"/>
      <c r="E90" s="929"/>
      <c r="F90" s="929"/>
      <c r="G90" s="929"/>
      <c r="H90" s="929"/>
      <c r="I90" s="929"/>
      <c r="J90" s="929"/>
      <c r="K90" s="929"/>
      <c r="L90" s="929"/>
      <c r="M90" s="929"/>
      <c r="N90" s="929"/>
      <c r="O90" s="929"/>
      <c r="P90" s="929"/>
      <c r="Q90" s="929"/>
      <c r="R90" s="929"/>
      <c r="S90" s="929"/>
      <c r="T90" s="929"/>
      <c r="U90" s="929"/>
      <c r="V90" s="929"/>
      <c r="W90" s="929"/>
      <c r="X90" s="929"/>
      <c r="Y90" s="929"/>
      <c r="Z90" s="929"/>
    </row>
    <row r="91" ht="15.75" customHeight="1">
      <c r="A91" s="929"/>
      <c r="B91" s="952"/>
      <c r="C91" s="952"/>
      <c r="D91" s="929"/>
      <c r="E91" s="929"/>
      <c r="F91" s="929"/>
      <c r="G91" s="929"/>
      <c r="H91" s="929"/>
      <c r="I91" s="929"/>
      <c r="J91" s="929"/>
      <c r="K91" s="929"/>
      <c r="L91" s="929"/>
      <c r="M91" s="929"/>
      <c r="N91" s="929"/>
      <c r="O91" s="929"/>
      <c r="P91" s="929"/>
      <c r="Q91" s="929"/>
      <c r="R91" s="929"/>
      <c r="S91" s="929"/>
      <c r="T91" s="929"/>
      <c r="U91" s="929"/>
      <c r="V91" s="929"/>
      <c r="W91" s="929"/>
      <c r="X91" s="929"/>
      <c r="Y91" s="929"/>
      <c r="Z91" s="929"/>
    </row>
    <row r="92" ht="15.75" customHeight="1">
      <c r="A92" s="929"/>
      <c r="B92" s="952"/>
      <c r="C92" s="952"/>
      <c r="D92" s="929"/>
      <c r="E92" s="929"/>
      <c r="F92" s="929"/>
      <c r="G92" s="929"/>
      <c r="H92" s="929"/>
      <c r="I92" s="929"/>
      <c r="J92" s="929"/>
      <c r="K92" s="929"/>
      <c r="L92" s="929"/>
      <c r="M92" s="929"/>
      <c r="N92" s="929"/>
      <c r="O92" s="929"/>
      <c r="P92" s="929"/>
      <c r="Q92" s="929"/>
      <c r="R92" s="929"/>
      <c r="S92" s="929"/>
      <c r="T92" s="929"/>
      <c r="U92" s="929"/>
      <c r="V92" s="929"/>
      <c r="W92" s="929"/>
      <c r="X92" s="929"/>
      <c r="Y92" s="929"/>
      <c r="Z92" s="929"/>
    </row>
    <row r="93" ht="15.75" customHeight="1">
      <c r="A93" s="929"/>
      <c r="B93" s="952"/>
      <c r="C93" s="952"/>
      <c r="D93" s="929"/>
      <c r="E93" s="929"/>
      <c r="F93" s="929"/>
      <c r="G93" s="929"/>
      <c r="H93" s="929"/>
      <c r="I93" s="929"/>
      <c r="J93" s="929"/>
      <c r="K93" s="929"/>
      <c r="L93" s="929"/>
      <c r="M93" s="929"/>
      <c r="N93" s="929"/>
      <c r="O93" s="929"/>
      <c r="P93" s="929"/>
      <c r="Q93" s="929"/>
      <c r="R93" s="929"/>
      <c r="S93" s="929"/>
      <c r="T93" s="929"/>
      <c r="U93" s="929"/>
      <c r="V93" s="929"/>
      <c r="W93" s="929"/>
      <c r="X93" s="929"/>
      <c r="Y93" s="929"/>
      <c r="Z93" s="929"/>
    </row>
    <row r="94" ht="15.75" customHeight="1">
      <c r="A94" s="929"/>
      <c r="B94" s="952"/>
      <c r="C94" s="952"/>
      <c r="D94" s="929"/>
      <c r="E94" s="929"/>
      <c r="F94" s="929"/>
      <c r="G94" s="929"/>
      <c r="H94" s="929"/>
      <c r="I94" s="929"/>
      <c r="J94" s="929"/>
      <c r="K94" s="929"/>
      <c r="L94" s="929"/>
      <c r="M94" s="929"/>
      <c r="N94" s="929"/>
      <c r="O94" s="929"/>
      <c r="P94" s="929"/>
      <c r="Q94" s="929"/>
      <c r="R94" s="929"/>
      <c r="S94" s="929"/>
      <c r="T94" s="929"/>
      <c r="U94" s="929"/>
      <c r="V94" s="929"/>
      <c r="W94" s="929"/>
      <c r="X94" s="929"/>
      <c r="Y94" s="929"/>
      <c r="Z94" s="929"/>
    </row>
    <row r="95" ht="15.75" customHeight="1">
      <c r="A95" s="929"/>
      <c r="B95" s="952"/>
      <c r="C95" s="952"/>
      <c r="D95" s="929"/>
      <c r="E95" s="929"/>
      <c r="F95" s="929"/>
      <c r="G95" s="929"/>
      <c r="H95" s="929"/>
      <c r="I95" s="929"/>
      <c r="J95" s="929"/>
      <c r="K95" s="929"/>
      <c r="L95" s="929"/>
      <c r="M95" s="929"/>
      <c r="N95" s="929"/>
      <c r="O95" s="929"/>
      <c r="P95" s="929"/>
      <c r="Q95" s="929"/>
      <c r="R95" s="929"/>
      <c r="S95" s="929"/>
      <c r="T95" s="929"/>
      <c r="U95" s="929"/>
      <c r="V95" s="929"/>
      <c r="W95" s="929"/>
      <c r="X95" s="929"/>
      <c r="Y95" s="929"/>
      <c r="Z95" s="929"/>
    </row>
    <row r="96" ht="15.75" customHeight="1">
      <c r="A96" s="929"/>
      <c r="B96" s="952"/>
      <c r="C96" s="952"/>
      <c r="D96" s="929"/>
      <c r="E96" s="929"/>
      <c r="F96" s="929"/>
      <c r="G96" s="929"/>
      <c r="H96" s="929"/>
      <c r="I96" s="929"/>
      <c r="J96" s="929"/>
      <c r="K96" s="929"/>
      <c r="L96" s="929"/>
      <c r="M96" s="929"/>
      <c r="N96" s="929"/>
      <c r="O96" s="929"/>
      <c r="P96" s="929"/>
      <c r="Q96" s="929"/>
      <c r="R96" s="929"/>
      <c r="S96" s="929"/>
      <c r="T96" s="929"/>
      <c r="U96" s="929"/>
      <c r="V96" s="929"/>
      <c r="W96" s="929"/>
      <c r="X96" s="929"/>
      <c r="Y96" s="929"/>
      <c r="Z96" s="929"/>
    </row>
    <row r="97" ht="15.75" customHeight="1">
      <c r="A97" s="929"/>
      <c r="B97" s="952"/>
      <c r="C97" s="952"/>
      <c r="D97" s="929"/>
      <c r="E97" s="929"/>
      <c r="F97" s="929"/>
      <c r="G97" s="929"/>
      <c r="H97" s="929"/>
      <c r="I97" s="929"/>
      <c r="J97" s="929"/>
      <c r="K97" s="929"/>
      <c r="L97" s="929"/>
      <c r="M97" s="929"/>
      <c r="N97" s="929"/>
      <c r="O97" s="929"/>
      <c r="P97" s="929"/>
      <c r="Q97" s="929"/>
      <c r="R97" s="929"/>
      <c r="S97" s="929"/>
      <c r="T97" s="929"/>
      <c r="U97" s="929"/>
      <c r="V97" s="929"/>
      <c r="W97" s="929"/>
      <c r="X97" s="929"/>
      <c r="Y97" s="929"/>
      <c r="Z97" s="929"/>
    </row>
    <row r="98" ht="15.75" customHeight="1">
      <c r="A98" s="929"/>
      <c r="B98" s="952"/>
      <c r="C98" s="952"/>
      <c r="D98" s="929"/>
      <c r="E98" s="929"/>
      <c r="F98" s="929"/>
      <c r="G98" s="929"/>
      <c r="H98" s="929"/>
      <c r="I98" s="929"/>
      <c r="J98" s="929"/>
      <c r="K98" s="929"/>
      <c r="L98" s="929"/>
      <c r="M98" s="929"/>
      <c r="N98" s="929"/>
      <c r="O98" s="929"/>
      <c r="P98" s="929"/>
      <c r="Q98" s="929"/>
      <c r="R98" s="929"/>
      <c r="S98" s="929"/>
      <c r="T98" s="929"/>
      <c r="U98" s="929"/>
      <c r="V98" s="929"/>
      <c r="W98" s="929"/>
      <c r="X98" s="929"/>
      <c r="Y98" s="929"/>
      <c r="Z98" s="929"/>
    </row>
    <row r="99" ht="15.75" customHeight="1">
      <c r="A99" s="929"/>
      <c r="B99" s="952"/>
      <c r="C99" s="952"/>
      <c r="D99" s="929"/>
      <c r="E99" s="929"/>
      <c r="F99" s="929"/>
      <c r="G99" s="929"/>
      <c r="H99" s="929"/>
      <c r="I99" s="929"/>
      <c r="J99" s="929"/>
      <c r="K99" s="929"/>
      <c r="L99" s="929"/>
      <c r="M99" s="929"/>
      <c r="N99" s="929"/>
      <c r="O99" s="929"/>
      <c r="P99" s="929"/>
      <c r="Q99" s="929"/>
      <c r="R99" s="929"/>
      <c r="S99" s="929"/>
      <c r="T99" s="929"/>
      <c r="U99" s="929"/>
      <c r="V99" s="929"/>
      <c r="W99" s="929"/>
      <c r="X99" s="929"/>
      <c r="Y99" s="929"/>
      <c r="Z99" s="929"/>
    </row>
    <row r="100" ht="15.75" customHeight="1">
      <c r="A100" s="929"/>
      <c r="B100" s="952"/>
      <c r="C100" s="952"/>
      <c r="D100" s="929"/>
      <c r="E100" s="929"/>
      <c r="F100" s="929"/>
      <c r="G100" s="929"/>
      <c r="H100" s="929"/>
      <c r="I100" s="929"/>
      <c r="J100" s="929"/>
      <c r="K100" s="929"/>
      <c r="L100" s="929"/>
      <c r="M100" s="929"/>
      <c r="N100" s="929"/>
      <c r="O100" s="929"/>
      <c r="P100" s="929"/>
      <c r="Q100" s="929"/>
      <c r="R100" s="929"/>
      <c r="S100" s="929"/>
      <c r="T100" s="929"/>
      <c r="U100" s="929"/>
      <c r="V100" s="929"/>
      <c r="W100" s="929"/>
      <c r="X100" s="929"/>
      <c r="Y100" s="929"/>
      <c r="Z100" s="929"/>
    </row>
    <row r="101" ht="15.75" customHeight="1">
      <c r="A101" s="929"/>
      <c r="B101" s="952"/>
      <c r="C101" s="952"/>
      <c r="D101" s="929"/>
      <c r="E101" s="929"/>
      <c r="F101" s="929"/>
      <c r="G101" s="929"/>
      <c r="H101" s="929"/>
      <c r="I101" s="929"/>
      <c r="J101" s="929"/>
      <c r="K101" s="929"/>
      <c r="L101" s="929"/>
      <c r="M101" s="929"/>
      <c r="N101" s="929"/>
      <c r="O101" s="929"/>
      <c r="P101" s="929"/>
      <c r="Q101" s="929"/>
      <c r="R101" s="929"/>
      <c r="S101" s="929"/>
      <c r="T101" s="929"/>
      <c r="U101" s="929"/>
      <c r="V101" s="929"/>
      <c r="W101" s="929"/>
      <c r="X101" s="929"/>
      <c r="Y101" s="929"/>
      <c r="Z101" s="929"/>
    </row>
    <row r="102" ht="15.75" customHeight="1">
      <c r="A102" s="929"/>
      <c r="B102" s="952"/>
      <c r="C102" s="952"/>
      <c r="D102" s="929"/>
      <c r="E102" s="929"/>
      <c r="F102" s="929"/>
      <c r="G102" s="929"/>
      <c r="H102" s="929"/>
      <c r="I102" s="929"/>
      <c r="J102" s="929"/>
      <c r="K102" s="929"/>
      <c r="L102" s="929"/>
      <c r="M102" s="929"/>
      <c r="N102" s="929"/>
      <c r="O102" s="929"/>
      <c r="P102" s="929"/>
      <c r="Q102" s="929"/>
      <c r="R102" s="929"/>
      <c r="S102" s="929"/>
      <c r="T102" s="929"/>
      <c r="U102" s="929"/>
      <c r="V102" s="929"/>
      <c r="W102" s="929"/>
      <c r="X102" s="929"/>
      <c r="Y102" s="929"/>
      <c r="Z102" s="929"/>
    </row>
    <row r="103" ht="15.75" customHeight="1">
      <c r="A103" s="929"/>
      <c r="B103" s="952"/>
      <c r="C103" s="952"/>
      <c r="D103" s="929"/>
      <c r="E103" s="929"/>
      <c r="F103" s="929"/>
      <c r="G103" s="929"/>
      <c r="H103" s="929"/>
      <c r="I103" s="929"/>
      <c r="J103" s="929"/>
      <c r="K103" s="929"/>
      <c r="L103" s="929"/>
      <c r="M103" s="929"/>
      <c r="N103" s="929"/>
      <c r="O103" s="929"/>
      <c r="P103" s="929"/>
      <c r="Q103" s="929"/>
      <c r="R103" s="929"/>
      <c r="S103" s="929"/>
      <c r="T103" s="929"/>
      <c r="U103" s="929"/>
      <c r="V103" s="929"/>
      <c r="W103" s="929"/>
      <c r="X103" s="929"/>
      <c r="Y103" s="929"/>
      <c r="Z103" s="929"/>
    </row>
    <row r="104" ht="15.75" customHeight="1">
      <c r="A104" s="929"/>
      <c r="B104" s="952"/>
      <c r="C104" s="952"/>
      <c r="D104" s="929"/>
      <c r="E104" s="929"/>
      <c r="F104" s="929"/>
      <c r="G104" s="929"/>
      <c r="H104" s="929"/>
      <c r="I104" s="929"/>
      <c r="J104" s="929"/>
      <c r="K104" s="929"/>
      <c r="L104" s="929"/>
      <c r="M104" s="929"/>
      <c r="N104" s="929"/>
      <c r="O104" s="929"/>
      <c r="P104" s="929"/>
      <c r="Q104" s="929"/>
      <c r="R104" s="929"/>
      <c r="S104" s="929"/>
      <c r="T104" s="929"/>
      <c r="U104" s="929"/>
      <c r="V104" s="929"/>
      <c r="W104" s="929"/>
      <c r="X104" s="929"/>
      <c r="Y104" s="929"/>
      <c r="Z104" s="929"/>
    </row>
    <row r="105" ht="15.75" customHeight="1">
      <c r="A105" s="929"/>
      <c r="B105" s="952"/>
      <c r="C105" s="952"/>
      <c r="D105" s="929"/>
      <c r="E105" s="929"/>
      <c r="F105" s="929"/>
      <c r="G105" s="929"/>
      <c r="H105" s="929"/>
      <c r="I105" s="929"/>
      <c r="J105" s="929"/>
      <c r="K105" s="929"/>
      <c r="L105" s="929"/>
      <c r="M105" s="929"/>
      <c r="N105" s="929"/>
      <c r="O105" s="929"/>
      <c r="P105" s="929"/>
      <c r="Q105" s="929"/>
      <c r="R105" s="929"/>
      <c r="S105" s="929"/>
      <c r="T105" s="929"/>
      <c r="U105" s="929"/>
      <c r="V105" s="929"/>
      <c r="W105" s="929"/>
      <c r="X105" s="929"/>
      <c r="Y105" s="929"/>
      <c r="Z105" s="929"/>
    </row>
    <row r="106" ht="15.75" customHeight="1">
      <c r="A106" s="929"/>
      <c r="B106" s="952"/>
      <c r="C106" s="952"/>
      <c r="D106" s="929"/>
      <c r="E106" s="929"/>
      <c r="F106" s="929"/>
      <c r="G106" s="929"/>
      <c r="H106" s="929"/>
      <c r="I106" s="929"/>
      <c r="J106" s="929"/>
      <c r="K106" s="929"/>
      <c r="L106" s="929"/>
      <c r="M106" s="929"/>
      <c r="N106" s="929"/>
      <c r="O106" s="929"/>
      <c r="P106" s="929"/>
      <c r="Q106" s="929"/>
      <c r="R106" s="929"/>
      <c r="S106" s="929"/>
      <c r="T106" s="929"/>
      <c r="U106" s="929"/>
      <c r="V106" s="929"/>
      <c r="W106" s="929"/>
      <c r="X106" s="929"/>
      <c r="Y106" s="929"/>
      <c r="Z106" s="929"/>
    </row>
    <row r="107" ht="15.75" customHeight="1">
      <c r="A107" s="929"/>
      <c r="B107" s="952"/>
      <c r="C107" s="952"/>
      <c r="D107" s="929"/>
      <c r="E107" s="929"/>
      <c r="F107" s="929"/>
      <c r="G107" s="929"/>
      <c r="H107" s="929"/>
      <c r="I107" s="929"/>
      <c r="J107" s="929"/>
      <c r="K107" s="929"/>
      <c r="L107" s="929"/>
      <c r="M107" s="929"/>
      <c r="N107" s="929"/>
      <c r="O107" s="929"/>
      <c r="P107" s="929"/>
      <c r="Q107" s="929"/>
      <c r="R107" s="929"/>
      <c r="S107" s="929"/>
      <c r="T107" s="929"/>
      <c r="U107" s="929"/>
      <c r="V107" s="929"/>
      <c r="W107" s="929"/>
      <c r="X107" s="929"/>
      <c r="Y107" s="929"/>
      <c r="Z107" s="929"/>
    </row>
    <row r="108" ht="15.75" customHeight="1">
      <c r="A108" s="929"/>
      <c r="B108" s="952"/>
      <c r="C108" s="952"/>
      <c r="D108" s="929"/>
      <c r="E108" s="929"/>
      <c r="F108" s="929"/>
      <c r="G108" s="929"/>
      <c r="H108" s="929"/>
      <c r="I108" s="929"/>
      <c r="J108" s="929"/>
      <c r="K108" s="929"/>
      <c r="L108" s="929"/>
      <c r="M108" s="929"/>
      <c r="N108" s="929"/>
      <c r="O108" s="929"/>
      <c r="P108" s="929"/>
      <c r="Q108" s="929"/>
      <c r="R108" s="929"/>
      <c r="S108" s="929"/>
      <c r="T108" s="929"/>
      <c r="U108" s="929"/>
      <c r="V108" s="929"/>
      <c r="W108" s="929"/>
      <c r="X108" s="929"/>
      <c r="Y108" s="929"/>
      <c r="Z108" s="929"/>
    </row>
    <row r="109" ht="15.75" customHeight="1">
      <c r="A109" s="929"/>
      <c r="B109" s="952"/>
      <c r="C109" s="952"/>
      <c r="D109" s="929"/>
      <c r="E109" s="929"/>
      <c r="F109" s="929"/>
      <c r="G109" s="929"/>
      <c r="H109" s="929"/>
      <c r="I109" s="929"/>
      <c r="J109" s="929"/>
      <c r="K109" s="929"/>
      <c r="L109" s="929"/>
      <c r="M109" s="929"/>
      <c r="N109" s="929"/>
      <c r="O109" s="929"/>
      <c r="P109" s="929"/>
      <c r="Q109" s="929"/>
      <c r="R109" s="929"/>
      <c r="S109" s="929"/>
      <c r="T109" s="929"/>
      <c r="U109" s="929"/>
      <c r="V109" s="929"/>
      <c r="W109" s="929"/>
      <c r="X109" s="929"/>
      <c r="Y109" s="929"/>
      <c r="Z109" s="929"/>
    </row>
    <row r="110" ht="15.75" customHeight="1">
      <c r="A110" s="929"/>
      <c r="B110" s="952"/>
      <c r="C110" s="952"/>
      <c r="D110" s="929"/>
      <c r="E110" s="929"/>
      <c r="F110" s="929"/>
      <c r="G110" s="929"/>
      <c r="H110" s="929"/>
      <c r="I110" s="929"/>
      <c r="J110" s="929"/>
      <c r="K110" s="929"/>
      <c r="L110" s="929"/>
      <c r="M110" s="929"/>
      <c r="N110" s="929"/>
      <c r="O110" s="929"/>
      <c r="P110" s="929"/>
      <c r="Q110" s="929"/>
      <c r="R110" s="929"/>
      <c r="S110" s="929"/>
      <c r="T110" s="929"/>
      <c r="U110" s="929"/>
      <c r="V110" s="929"/>
      <c r="W110" s="929"/>
      <c r="X110" s="929"/>
      <c r="Y110" s="929"/>
      <c r="Z110" s="929"/>
    </row>
    <row r="111" ht="15.75" customHeight="1">
      <c r="A111" s="929"/>
      <c r="B111" s="952"/>
      <c r="C111" s="952"/>
      <c r="D111" s="929"/>
      <c r="E111" s="929"/>
      <c r="F111" s="929"/>
      <c r="G111" s="929"/>
      <c r="H111" s="929"/>
      <c r="I111" s="929"/>
      <c r="J111" s="929"/>
      <c r="K111" s="929"/>
      <c r="L111" s="929"/>
      <c r="M111" s="929"/>
      <c r="N111" s="929"/>
      <c r="O111" s="929"/>
      <c r="P111" s="929"/>
      <c r="Q111" s="929"/>
      <c r="R111" s="929"/>
      <c r="S111" s="929"/>
      <c r="T111" s="929"/>
      <c r="U111" s="929"/>
      <c r="V111" s="929"/>
      <c r="W111" s="929"/>
      <c r="X111" s="929"/>
      <c r="Y111" s="929"/>
      <c r="Z111" s="929"/>
    </row>
    <row r="112" ht="15.75" customHeight="1">
      <c r="A112" s="929"/>
      <c r="B112" s="952"/>
      <c r="C112" s="952"/>
      <c r="D112" s="929"/>
      <c r="E112" s="929"/>
      <c r="F112" s="929"/>
      <c r="G112" s="929"/>
      <c r="H112" s="929"/>
      <c r="I112" s="929"/>
      <c r="J112" s="929"/>
      <c r="K112" s="929"/>
      <c r="L112" s="929"/>
      <c r="M112" s="929"/>
      <c r="N112" s="929"/>
      <c r="O112" s="929"/>
      <c r="P112" s="929"/>
      <c r="Q112" s="929"/>
      <c r="R112" s="929"/>
      <c r="S112" s="929"/>
      <c r="T112" s="929"/>
      <c r="U112" s="929"/>
      <c r="V112" s="929"/>
      <c r="W112" s="929"/>
      <c r="X112" s="929"/>
      <c r="Y112" s="929"/>
      <c r="Z112" s="929"/>
    </row>
    <row r="113" ht="15.75" customHeight="1">
      <c r="A113" s="929"/>
      <c r="B113" s="952"/>
      <c r="C113" s="952"/>
      <c r="D113" s="929"/>
      <c r="E113" s="929"/>
      <c r="F113" s="929"/>
      <c r="G113" s="929"/>
      <c r="H113" s="929"/>
      <c r="I113" s="929"/>
      <c r="J113" s="929"/>
      <c r="K113" s="929"/>
      <c r="L113" s="929"/>
      <c r="M113" s="929"/>
      <c r="N113" s="929"/>
      <c r="O113" s="929"/>
      <c r="P113" s="929"/>
      <c r="Q113" s="929"/>
      <c r="R113" s="929"/>
      <c r="S113" s="929"/>
      <c r="T113" s="929"/>
      <c r="U113" s="929"/>
      <c r="V113" s="929"/>
      <c r="W113" s="929"/>
      <c r="X113" s="929"/>
      <c r="Y113" s="929"/>
      <c r="Z113" s="929"/>
    </row>
    <row r="114" ht="15.75" customHeight="1">
      <c r="A114" s="929"/>
      <c r="B114" s="952"/>
      <c r="C114" s="952"/>
      <c r="D114" s="929"/>
      <c r="E114" s="929"/>
      <c r="F114" s="929"/>
      <c r="G114" s="929"/>
      <c r="H114" s="929"/>
      <c r="I114" s="929"/>
      <c r="J114" s="929"/>
      <c r="K114" s="929"/>
      <c r="L114" s="929"/>
      <c r="M114" s="929"/>
      <c r="N114" s="929"/>
      <c r="O114" s="929"/>
      <c r="P114" s="929"/>
      <c r="Q114" s="929"/>
      <c r="R114" s="929"/>
      <c r="S114" s="929"/>
      <c r="T114" s="929"/>
      <c r="U114" s="929"/>
      <c r="V114" s="929"/>
      <c r="W114" s="929"/>
      <c r="X114" s="929"/>
      <c r="Y114" s="929"/>
      <c r="Z114" s="929"/>
    </row>
    <row r="115" ht="15.75" customHeight="1">
      <c r="A115" s="929"/>
      <c r="B115" s="952"/>
      <c r="C115" s="952"/>
      <c r="D115" s="929"/>
      <c r="E115" s="929"/>
      <c r="F115" s="929"/>
      <c r="G115" s="929"/>
      <c r="H115" s="929"/>
      <c r="I115" s="929"/>
      <c r="J115" s="929"/>
      <c r="K115" s="929"/>
      <c r="L115" s="929"/>
      <c r="M115" s="929"/>
      <c r="N115" s="929"/>
      <c r="O115" s="929"/>
      <c r="P115" s="929"/>
      <c r="Q115" s="929"/>
      <c r="R115" s="929"/>
      <c r="S115" s="929"/>
      <c r="T115" s="929"/>
      <c r="U115" s="929"/>
      <c r="V115" s="929"/>
      <c r="W115" s="929"/>
      <c r="X115" s="929"/>
      <c r="Y115" s="929"/>
      <c r="Z115" s="929"/>
    </row>
    <row r="116" ht="15.75" customHeight="1">
      <c r="A116" s="929"/>
      <c r="B116" s="952"/>
      <c r="C116" s="952"/>
      <c r="D116" s="929"/>
      <c r="E116" s="929"/>
      <c r="F116" s="929"/>
      <c r="G116" s="929"/>
      <c r="H116" s="929"/>
      <c r="I116" s="929"/>
      <c r="J116" s="929"/>
      <c r="K116" s="929"/>
      <c r="L116" s="929"/>
      <c r="M116" s="929"/>
      <c r="N116" s="929"/>
      <c r="O116" s="929"/>
      <c r="P116" s="929"/>
      <c r="Q116" s="929"/>
      <c r="R116" s="929"/>
      <c r="S116" s="929"/>
      <c r="T116" s="929"/>
      <c r="U116" s="929"/>
      <c r="V116" s="929"/>
      <c r="W116" s="929"/>
      <c r="X116" s="929"/>
      <c r="Y116" s="929"/>
      <c r="Z116" s="929"/>
    </row>
    <row r="117" ht="15.75" customHeight="1">
      <c r="A117" s="929"/>
      <c r="B117" s="952"/>
      <c r="C117" s="952"/>
      <c r="D117" s="929"/>
      <c r="E117" s="929"/>
      <c r="F117" s="929"/>
      <c r="G117" s="929"/>
      <c r="H117" s="929"/>
      <c r="I117" s="929"/>
      <c r="J117" s="929"/>
      <c r="K117" s="929"/>
      <c r="L117" s="929"/>
      <c r="M117" s="929"/>
      <c r="N117" s="929"/>
      <c r="O117" s="929"/>
      <c r="P117" s="929"/>
      <c r="Q117" s="929"/>
      <c r="R117" s="929"/>
      <c r="S117" s="929"/>
      <c r="T117" s="929"/>
      <c r="U117" s="929"/>
      <c r="V117" s="929"/>
      <c r="W117" s="929"/>
      <c r="X117" s="929"/>
      <c r="Y117" s="929"/>
      <c r="Z117" s="929"/>
    </row>
    <row r="118" ht="15.75" customHeight="1">
      <c r="A118" s="929"/>
      <c r="B118" s="952"/>
      <c r="C118" s="952"/>
      <c r="D118" s="929"/>
      <c r="E118" s="929"/>
      <c r="F118" s="929"/>
      <c r="G118" s="929"/>
      <c r="H118" s="929"/>
      <c r="I118" s="929"/>
      <c r="J118" s="929"/>
      <c r="K118" s="929"/>
      <c r="L118" s="929"/>
      <c r="M118" s="929"/>
      <c r="N118" s="929"/>
      <c r="O118" s="929"/>
      <c r="P118" s="929"/>
      <c r="Q118" s="929"/>
      <c r="R118" s="929"/>
      <c r="S118" s="929"/>
      <c r="T118" s="929"/>
      <c r="U118" s="929"/>
      <c r="V118" s="929"/>
      <c r="W118" s="929"/>
      <c r="X118" s="929"/>
      <c r="Y118" s="929"/>
      <c r="Z118" s="929"/>
    </row>
    <row r="119" ht="15.75" customHeight="1">
      <c r="A119" s="929"/>
      <c r="B119" s="952"/>
      <c r="C119" s="952"/>
      <c r="D119" s="929"/>
      <c r="E119" s="929"/>
      <c r="F119" s="929"/>
      <c r="G119" s="929"/>
      <c r="H119" s="929"/>
      <c r="I119" s="929"/>
      <c r="J119" s="929"/>
      <c r="K119" s="929"/>
      <c r="L119" s="929"/>
      <c r="M119" s="929"/>
      <c r="N119" s="929"/>
      <c r="O119" s="929"/>
      <c r="P119" s="929"/>
      <c r="Q119" s="929"/>
      <c r="R119" s="929"/>
      <c r="S119" s="929"/>
      <c r="T119" s="929"/>
      <c r="U119" s="929"/>
      <c r="V119" s="929"/>
      <c r="W119" s="929"/>
      <c r="X119" s="929"/>
      <c r="Y119" s="929"/>
      <c r="Z119" s="929"/>
    </row>
    <row r="120" ht="15.75" customHeight="1">
      <c r="A120" s="929"/>
      <c r="B120" s="952"/>
      <c r="C120" s="952"/>
      <c r="D120" s="929"/>
      <c r="E120" s="929"/>
      <c r="F120" s="929"/>
      <c r="G120" s="929"/>
      <c r="H120" s="929"/>
      <c r="I120" s="929"/>
      <c r="J120" s="929"/>
      <c r="K120" s="929"/>
      <c r="L120" s="929"/>
      <c r="M120" s="929"/>
      <c r="N120" s="929"/>
      <c r="O120" s="929"/>
      <c r="P120" s="929"/>
      <c r="Q120" s="929"/>
      <c r="R120" s="929"/>
      <c r="S120" s="929"/>
      <c r="T120" s="929"/>
      <c r="U120" s="929"/>
      <c r="V120" s="929"/>
      <c r="W120" s="929"/>
      <c r="X120" s="929"/>
      <c r="Y120" s="929"/>
      <c r="Z120" s="929"/>
    </row>
    <row r="121" ht="15.75" customHeight="1">
      <c r="A121" s="929"/>
      <c r="B121" s="952"/>
      <c r="C121" s="952"/>
      <c r="D121" s="929"/>
      <c r="E121" s="929"/>
      <c r="F121" s="929"/>
      <c r="G121" s="929"/>
      <c r="H121" s="929"/>
      <c r="I121" s="929"/>
      <c r="J121" s="929"/>
      <c r="K121" s="929"/>
      <c r="L121" s="929"/>
      <c r="M121" s="929"/>
      <c r="N121" s="929"/>
      <c r="O121" s="929"/>
      <c r="P121" s="929"/>
      <c r="Q121" s="929"/>
      <c r="R121" s="929"/>
      <c r="S121" s="929"/>
      <c r="T121" s="929"/>
      <c r="U121" s="929"/>
      <c r="V121" s="929"/>
      <c r="W121" s="929"/>
      <c r="X121" s="929"/>
      <c r="Y121" s="929"/>
      <c r="Z121" s="929"/>
    </row>
    <row r="122" ht="15.75" customHeight="1">
      <c r="A122" s="929"/>
      <c r="B122" s="952"/>
      <c r="C122" s="952"/>
      <c r="D122" s="929"/>
      <c r="E122" s="929"/>
      <c r="F122" s="929"/>
      <c r="G122" s="929"/>
      <c r="H122" s="929"/>
      <c r="I122" s="929"/>
      <c r="J122" s="929"/>
      <c r="K122" s="929"/>
      <c r="L122" s="929"/>
      <c r="M122" s="929"/>
      <c r="N122" s="929"/>
      <c r="O122" s="929"/>
      <c r="P122" s="929"/>
      <c r="Q122" s="929"/>
      <c r="R122" s="929"/>
      <c r="S122" s="929"/>
      <c r="T122" s="929"/>
      <c r="U122" s="929"/>
      <c r="V122" s="929"/>
      <c r="W122" s="929"/>
      <c r="X122" s="929"/>
      <c r="Y122" s="929"/>
      <c r="Z122" s="929"/>
    </row>
    <row r="123" ht="15.75" customHeight="1">
      <c r="A123" s="929"/>
      <c r="B123" s="952"/>
      <c r="C123" s="952"/>
      <c r="D123" s="929"/>
      <c r="E123" s="929"/>
      <c r="F123" s="929"/>
      <c r="G123" s="929"/>
      <c r="H123" s="929"/>
      <c r="I123" s="929"/>
      <c r="J123" s="929"/>
      <c r="K123" s="929"/>
      <c r="L123" s="929"/>
      <c r="M123" s="929"/>
      <c r="N123" s="929"/>
      <c r="O123" s="929"/>
      <c r="P123" s="929"/>
      <c r="Q123" s="929"/>
      <c r="R123" s="929"/>
      <c r="S123" s="929"/>
      <c r="T123" s="929"/>
      <c r="U123" s="929"/>
      <c r="V123" s="929"/>
      <c r="W123" s="929"/>
      <c r="X123" s="929"/>
      <c r="Y123" s="929"/>
      <c r="Z123" s="929"/>
    </row>
    <row r="124" ht="15.75" customHeight="1">
      <c r="A124" s="929"/>
      <c r="B124" s="952"/>
      <c r="C124" s="952"/>
      <c r="D124" s="929"/>
      <c r="E124" s="929"/>
      <c r="F124" s="929"/>
      <c r="G124" s="929"/>
      <c r="H124" s="929"/>
      <c r="I124" s="929"/>
      <c r="J124" s="929"/>
      <c r="K124" s="929"/>
      <c r="L124" s="929"/>
      <c r="M124" s="929"/>
      <c r="N124" s="929"/>
      <c r="O124" s="929"/>
      <c r="P124" s="929"/>
      <c r="Q124" s="929"/>
      <c r="R124" s="929"/>
      <c r="S124" s="929"/>
      <c r="T124" s="929"/>
      <c r="U124" s="929"/>
      <c r="V124" s="929"/>
      <c r="W124" s="929"/>
      <c r="X124" s="929"/>
      <c r="Y124" s="929"/>
      <c r="Z124" s="929"/>
    </row>
    <row r="125" ht="15.75" customHeight="1">
      <c r="A125" s="929"/>
      <c r="B125" s="952"/>
      <c r="C125" s="952"/>
      <c r="D125" s="929"/>
      <c r="E125" s="929"/>
      <c r="F125" s="929"/>
      <c r="G125" s="929"/>
      <c r="H125" s="929"/>
      <c r="I125" s="929"/>
      <c r="J125" s="929"/>
      <c r="K125" s="929"/>
      <c r="L125" s="929"/>
      <c r="M125" s="929"/>
      <c r="N125" s="929"/>
      <c r="O125" s="929"/>
      <c r="P125" s="929"/>
      <c r="Q125" s="929"/>
      <c r="R125" s="929"/>
      <c r="S125" s="929"/>
      <c r="T125" s="929"/>
      <c r="U125" s="929"/>
      <c r="V125" s="929"/>
      <c r="W125" s="929"/>
      <c r="X125" s="929"/>
      <c r="Y125" s="929"/>
      <c r="Z125" s="929"/>
    </row>
    <row r="126" ht="15.75" customHeight="1">
      <c r="A126" s="929"/>
      <c r="B126" s="952"/>
      <c r="C126" s="952"/>
      <c r="D126" s="929"/>
      <c r="E126" s="929"/>
      <c r="F126" s="929"/>
      <c r="G126" s="929"/>
      <c r="H126" s="929"/>
      <c r="I126" s="929"/>
      <c r="J126" s="929"/>
      <c r="K126" s="929"/>
      <c r="L126" s="929"/>
      <c r="M126" s="929"/>
      <c r="N126" s="929"/>
      <c r="O126" s="929"/>
      <c r="P126" s="929"/>
      <c r="Q126" s="929"/>
      <c r="R126" s="929"/>
      <c r="S126" s="929"/>
      <c r="T126" s="929"/>
      <c r="U126" s="929"/>
      <c r="V126" s="929"/>
      <c r="W126" s="929"/>
      <c r="X126" s="929"/>
      <c r="Y126" s="929"/>
      <c r="Z126" s="929"/>
    </row>
    <row r="127" ht="15.75" customHeight="1">
      <c r="A127" s="929"/>
      <c r="B127" s="952"/>
      <c r="C127" s="952"/>
      <c r="D127" s="929"/>
      <c r="E127" s="929"/>
      <c r="F127" s="929"/>
      <c r="G127" s="929"/>
      <c r="H127" s="929"/>
      <c r="I127" s="929"/>
      <c r="J127" s="929"/>
      <c r="K127" s="929"/>
      <c r="L127" s="929"/>
      <c r="M127" s="929"/>
      <c r="N127" s="929"/>
      <c r="O127" s="929"/>
      <c r="P127" s="929"/>
      <c r="Q127" s="929"/>
      <c r="R127" s="929"/>
      <c r="S127" s="929"/>
      <c r="T127" s="929"/>
      <c r="U127" s="929"/>
      <c r="V127" s="929"/>
      <c r="W127" s="929"/>
      <c r="X127" s="929"/>
      <c r="Y127" s="929"/>
      <c r="Z127" s="929"/>
    </row>
    <row r="128" ht="15.75" customHeight="1">
      <c r="A128" s="929"/>
      <c r="B128" s="952"/>
      <c r="C128" s="952"/>
      <c r="D128" s="929"/>
      <c r="E128" s="929"/>
      <c r="F128" s="929"/>
      <c r="G128" s="929"/>
      <c r="H128" s="929"/>
      <c r="I128" s="929"/>
      <c r="J128" s="929"/>
      <c r="K128" s="929"/>
      <c r="L128" s="929"/>
      <c r="M128" s="929"/>
      <c r="N128" s="929"/>
      <c r="O128" s="929"/>
      <c r="P128" s="929"/>
      <c r="Q128" s="929"/>
      <c r="R128" s="929"/>
      <c r="S128" s="929"/>
      <c r="T128" s="929"/>
      <c r="U128" s="929"/>
      <c r="V128" s="929"/>
      <c r="W128" s="929"/>
      <c r="X128" s="929"/>
      <c r="Y128" s="929"/>
      <c r="Z128" s="929"/>
    </row>
    <row r="129" ht="15.75" customHeight="1">
      <c r="A129" s="929"/>
      <c r="B129" s="952"/>
      <c r="C129" s="952"/>
      <c r="D129" s="929"/>
      <c r="E129" s="929"/>
      <c r="F129" s="929"/>
      <c r="G129" s="929"/>
      <c r="H129" s="929"/>
      <c r="I129" s="929"/>
      <c r="J129" s="929"/>
      <c r="K129" s="929"/>
      <c r="L129" s="929"/>
      <c r="M129" s="929"/>
      <c r="N129" s="929"/>
      <c r="O129" s="929"/>
      <c r="P129" s="929"/>
      <c r="Q129" s="929"/>
      <c r="R129" s="929"/>
      <c r="S129" s="929"/>
      <c r="T129" s="929"/>
      <c r="U129" s="929"/>
      <c r="V129" s="929"/>
      <c r="W129" s="929"/>
      <c r="X129" s="929"/>
      <c r="Y129" s="929"/>
      <c r="Z129" s="929"/>
    </row>
    <row r="130" ht="15.75" customHeight="1">
      <c r="A130" s="929"/>
      <c r="B130" s="952"/>
      <c r="C130" s="952"/>
      <c r="D130" s="929"/>
      <c r="E130" s="929"/>
      <c r="F130" s="929"/>
      <c r="G130" s="929"/>
      <c r="H130" s="929"/>
      <c r="I130" s="929"/>
      <c r="J130" s="929"/>
      <c r="K130" s="929"/>
      <c r="L130" s="929"/>
      <c r="M130" s="929"/>
      <c r="N130" s="929"/>
      <c r="O130" s="929"/>
      <c r="P130" s="929"/>
      <c r="Q130" s="929"/>
      <c r="R130" s="929"/>
      <c r="S130" s="929"/>
      <c r="T130" s="929"/>
      <c r="U130" s="929"/>
      <c r="V130" s="929"/>
      <c r="W130" s="929"/>
      <c r="X130" s="929"/>
      <c r="Y130" s="929"/>
      <c r="Z130" s="929"/>
    </row>
    <row r="131" ht="15.75" customHeight="1">
      <c r="A131" s="929"/>
      <c r="B131" s="952"/>
      <c r="C131" s="952"/>
      <c r="D131" s="929"/>
      <c r="E131" s="929"/>
      <c r="F131" s="929"/>
      <c r="G131" s="929"/>
      <c r="H131" s="929"/>
      <c r="I131" s="929"/>
      <c r="J131" s="929"/>
      <c r="K131" s="929"/>
      <c r="L131" s="929"/>
      <c r="M131" s="929"/>
      <c r="N131" s="929"/>
      <c r="O131" s="929"/>
      <c r="P131" s="929"/>
      <c r="Q131" s="929"/>
      <c r="R131" s="929"/>
      <c r="S131" s="929"/>
      <c r="T131" s="929"/>
      <c r="U131" s="929"/>
      <c r="V131" s="929"/>
      <c r="W131" s="929"/>
      <c r="X131" s="929"/>
      <c r="Y131" s="929"/>
      <c r="Z131" s="929"/>
    </row>
    <row r="132" ht="15.75" customHeight="1">
      <c r="A132" s="929"/>
      <c r="B132" s="952"/>
      <c r="C132" s="952"/>
      <c r="D132" s="929"/>
      <c r="E132" s="929"/>
      <c r="F132" s="929"/>
      <c r="G132" s="929"/>
      <c r="H132" s="929"/>
      <c r="I132" s="929"/>
      <c r="J132" s="929"/>
      <c r="K132" s="929"/>
      <c r="L132" s="929"/>
      <c r="M132" s="929"/>
      <c r="N132" s="929"/>
      <c r="O132" s="929"/>
      <c r="P132" s="929"/>
      <c r="Q132" s="929"/>
      <c r="R132" s="929"/>
      <c r="S132" s="929"/>
      <c r="T132" s="929"/>
      <c r="U132" s="929"/>
      <c r="V132" s="929"/>
      <c r="W132" s="929"/>
      <c r="X132" s="929"/>
      <c r="Y132" s="929"/>
      <c r="Z132" s="929"/>
    </row>
    <row r="133" ht="15.75" customHeight="1">
      <c r="A133" s="929"/>
      <c r="B133" s="952"/>
      <c r="C133" s="952"/>
      <c r="D133" s="929"/>
      <c r="E133" s="929"/>
      <c r="F133" s="929"/>
      <c r="G133" s="929"/>
      <c r="H133" s="929"/>
      <c r="I133" s="929"/>
      <c r="J133" s="929"/>
      <c r="K133" s="929"/>
      <c r="L133" s="929"/>
      <c r="M133" s="929"/>
      <c r="N133" s="929"/>
      <c r="O133" s="929"/>
      <c r="P133" s="929"/>
      <c r="Q133" s="929"/>
      <c r="R133" s="929"/>
      <c r="S133" s="929"/>
      <c r="T133" s="929"/>
      <c r="U133" s="929"/>
      <c r="V133" s="929"/>
      <c r="W133" s="929"/>
      <c r="X133" s="929"/>
      <c r="Y133" s="929"/>
      <c r="Z133" s="929"/>
    </row>
    <row r="134" ht="15.75" customHeight="1">
      <c r="A134" s="929"/>
      <c r="B134" s="952"/>
      <c r="C134" s="952"/>
      <c r="D134" s="929"/>
      <c r="E134" s="929"/>
      <c r="F134" s="929"/>
      <c r="G134" s="929"/>
      <c r="H134" s="929"/>
      <c r="I134" s="929"/>
      <c r="J134" s="929"/>
      <c r="K134" s="929"/>
      <c r="L134" s="929"/>
      <c r="M134" s="929"/>
      <c r="N134" s="929"/>
      <c r="O134" s="929"/>
      <c r="P134" s="929"/>
      <c r="Q134" s="929"/>
      <c r="R134" s="929"/>
      <c r="S134" s="929"/>
      <c r="T134" s="929"/>
      <c r="U134" s="929"/>
      <c r="V134" s="929"/>
      <c r="W134" s="929"/>
      <c r="X134" s="929"/>
      <c r="Y134" s="929"/>
      <c r="Z134" s="929"/>
    </row>
    <row r="135" ht="15.75" customHeight="1">
      <c r="A135" s="929"/>
      <c r="B135" s="952"/>
      <c r="C135" s="952"/>
      <c r="D135" s="929"/>
      <c r="E135" s="929"/>
      <c r="F135" s="929"/>
      <c r="G135" s="929"/>
      <c r="H135" s="929"/>
      <c r="I135" s="929"/>
      <c r="J135" s="929"/>
      <c r="K135" s="929"/>
      <c r="L135" s="929"/>
      <c r="M135" s="929"/>
      <c r="N135" s="929"/>
      <c r="O135" s="929"/>
      <c r="P135" s="929"/>
      <c r="Q135" s="929"/>
      <c r="R135" s="929"/>
      <c r="S135" s="929"/>
      <c r="T135" s="929"/>
      <c r="U135" s="929"/>
      <c r="V135" s="929"/>
      <c r="W135" s="929"/>
      <c r="X135" s="929"/>
      <c r="Y135" s="929"/>
      <c r="Z135" s="929"/>
    </row>
    <row r="136" ht="15.75" customHeight="1">
      <c r="A136" s="929"/>
      <c r="B136" s="952"/>
      <c r="C136" s="952"/>
      <c r="D136" s="929"/>
      <c r="E136" s="929"/>
      <c r="F136" s="929"/>
      <c r="G136" s="929"/>
      <c r="H136" s="929"/>
      <c r="I136" s="929"/>
      <c r="J136" s="929"/>
      <c r="K136" s="929"/>
      <c r="L136" s="929"/>
      <c r="M136" s="929"/>
      <c r="N136" s="929"/>
      <c r="O136" s="929"/>
      <c r="P136" s="929"/>
      <c r="Q136" s="929"/>
      <c r="R136" s="929"/>
      <c r="S136" s="929"/>
      <c r="T136" s="929"/>
      <c r="U136" s="929"/>
      <c r="V136" s="929"/>
      <c r="W136" s="929"/>
      <c r="X136" s="929"/>
      <c r="Y136" s="929"/>
      <c r="Z136" s="929"/>
    </row>
    <row r="137" ht="15.75" customHeight="1">
      <c r="A137" s="929"/>
      <c r="B137" s="952"/>
      <c r="C137" s="952"/>
      <c r="D137" s="929"/>
      <c r="E137" s="929"/>
      <c r="F137" s="929"/>
      <c r="G137" s="929"/>
      <c r="H137" s="929"/>
      <c r="I137" s="929"/>
      <c r="J137" s="929"/>
      <c r="K137" s="929"/>
      <c r="L137" s="929"/>
      <c r="M137" s="929"/>
      <c r="N137" s="929"/>
      <c r="O137" s="929"/>
      <c r="P137" s="929"/>
      <c r="Q137" s="929"/>
      <c r="R137" s="929"/>
      <c r="S137" s="929"/>
      <c r="T137" s="929"/>
      <c r="U137" s="929"/>
      <c r="V137" s="929"/>
      <c r="W137" s="929"/>
      <c r="X137" s="929"/>
      <c r="Y137" s="929"/>
      <c r="Z137" s="929"/>
    </row>
    <row r="138" ht="15.75" customHeight="1">
      <c r="A138" s="929"/>
      <c r="B138" s="952"/>
      <c r="C138" s="952"/>
      <c r="D138" s="929"/>
      <c r="E138" s="929"/>
      <c r="F138" s="929"/>
      <c r="G138" s="929"/>
      <c r="H138" s="929"/>
      <c r="I138" s="929"/>
      <c r="J138" s="929"/>
      <c r="K138" s="929"/>
      <c r="L138" s="929"/>
      <c r="M138" s="929"/>
      <c r="N138" s="929"/>
      <c r="O138" s="929"/>
      <c r="P138" s="929"/>
      <c r="Q138" s="929"/>
      <c r="R138" s="929"/>
      <c r="S138" s="929"/>
      <c r="T138" s="929"/>
      <c r="U138" s="929"/>
      <c r="V138" s="929"/>
      <c r="W138" s="929"/>
      <c r="X138" s="929"/>
      <c r="Y138" s="929"/>
      <c r="Z138" s="929"/>
    </row>
    <row r="139" ht="15.75" customHeight="1">
      <c r="A139" s="929"/>
      <c r="B139" s="952"/>
      <c r="C139" s="952"/>
      <c r="D139" s="929"/>
      <c r="E139" s="929"/>
      <c r="F139" s="929"/>
      <c r="G139" s="929"/>
      <c r="H139" s="929"/>
      <c r="I139" s="929"/>
      <c r="J139" s="929"/>
      <c r="K139" s="929"/>
      <c r="L139" s="929"/>
      <c r="M139" s="929"/>
      <c r="N139" s="929"/>
      <c r="O139" s="929"/>
      <c r="P139" s="929"/>
      <c r="Q139" s="929"/>
      <c r="R139" s="929"/>
      <c r="S139" s="929"/>
      <c r="T139" s="929"/>
      <c r="U139" s="929"/>
      <c r="V139" s="929"/>
      <c r="W139" s="929"/>
      <c r="X139" s="929"/>
      <c r="Y139" s="929"/>
      <c r="Z139" s="929"/>
    </row>
    <row r="140" ht="15.75" customHeight="1">
      <c r="A140" s="929"/>
      <c r="B140" s="952"/>
      <c r="C140" s="952"/>
      <c r="D140" s="929"/>
      <c r="E140" s="929"/>
      <c r="F140" s="929"/>
      <c r="G140" s="929"/>
      <c r="H140" s="929"/>
      <c r="I140" s="929"/>
      <c r="J140" s="929"/>
      <c r="K140" s="929"/>
      <c r="L140" s="929"/>
      <c r="M140" s="929"/>
      <c r="N140" s="929"/>
      <c r="O140" s="929"/>
      <c r="P140" s="929"/>
      <c r="Q140" s="929"/>
      <c r="R140" s="929"/>
      <c r="S140" s="929"/>
      <c r="T140" s="929"/>
      <c r="U140" s="929"/>
      <c r="V140" s="929"/>
      <c r="W140" s="929"/>
      <c r="X140" s="929"/>
      <c r="Y140" s="929"/>
      <c r="Z140" s="929"/>
    </row>
    <row r="141" ht="15.75" customHeight="1">
      <c r="A141" s="929"/>
      <c r="B141" s="952"/>
      <c r="C141" s="952"/>
      <c r="D141" s="929"/>
      <c r="E141" s="929"/>
      <c r="F141" s="929"/>
      <c r="G141" s="929"/>
      <c r="H141" s="929"/>
      <c r="I141" s="929"/>
      <c r="J141" s="929"/>
      <c r="K141" s="929"/>
      <c r="L141" s="929"/>
      <c r="M141" s="929"/>
      <c r="N141" s="929"/>
      <c r="O141" s="929"/>
      <c r="P141" s="929"/>
      <c r="Q141" s="929"/>
      <c r="R141" s="929"/>
      <c r="S141" s="929"/>
      <c r="T141" s="929"/>
      <c r="U141" s="929"/>
      <c r="V141" s="929"/>
      <c r="W141" s="929"/>
      <c r="X141" s="929"/>
      <c r="Y141" s="929"/>
      <c r="Z141" s="929"/>
    </row>
    <row r="142" ht="15.75" customHeight="1">
      <c r="A142" s="929"/>
      <c r="B142" s="952"/>
      <c r="C142" s="952"/>
      <c r="D142" s="929"/>
      <c r="E142" s="929"/>
      <c r="F142" s="929"/>
      <c r="G142" s="929"/>
      <c r="H142" s="929"/>
      <c r="I142" s="929"/>
      <c r="J142" s="929"/>
      <c r="K142" s="929"/>
      <c r="L142" s="929"/>
      <c r="M142" s="929"/>
      <c r="N142" s="929"/>
      <c r="O142" s="929"/>
      <c r="P142" s="929"/>
      <c r="Q142" s="929"/>
      <c r="R142" s="929"/>
      <c r="S142" s="929"/>
      <c r="T142" s="929"/>
      <c r="U142" s="929"/>
      <c r="V142" s="929"/>
      <c r="W142" s="929"/>
      <c r="X142" s="929"/>
      <c r="Y142" s="929"/>
      <c r="Z142" s="929"/>
    </row>
    <row r="143" ht="15.75" customHeight="1">
      <c r="A143" s="929"/>
      <c r="B143" s="952"/>
      <c r="C143" s="952"/>
      <c r="D143" s="929"/>
      <c r="E143" s="929"/>
      <c r="F143" s="929"/>
      <c r="G143" s="929"/>
      <c r="H143" s="929"/>
      <c r="I143" s="929"/>
      <c r="J143" s="929"/>
      <c r="K143" s="929"/>
      <c r="L143" s="929"/>
      <c r="M143" s="929"/>
      <c r="N143" s="929"/>
      <c r="O143" s="929"/>
      <c r="P143" s="929"/>
      <c r="Q143" s="929"/>
      <c r="R143" s="929"/>
      <c r="S143" s="929"/>
      <c r="T143" s="929"/>
      <c r="U143" s="929"/>
      <c r="V143" s="929"/>
      <c r="W143" s="929"/>
      <c r="X143" s="929"/>
      <c r="Y143" s="929"/>
      <c r="Z143" s="929"/>
    </row>
    <row r="144" ht="15.75" customHeight="1">
      <c r="A144" s="929"/>
      <c r="B144" s="952"/>
      <c r="C144" s="952"/>
      <c r="D144" s="929"/>
      <c r="E144" s="929"/>
      <c r="F144" s="929"/>
      <c r="G144" s="929"/>
      <c r="H144" s="929"/>
      <c r="I144" s="929"/>
      <c r="J144" s="929"/>
      <c r="K144" s="929"/>
      <c r="L144" s="929"/>
      <c r="M144" s="929"/>
      <c r="N144" s="929"/>
      <c r="O144" s="929"/>
      <c r="P144" s="929"/>
      <c r="Q144" s="929"/>
      <c r="R144" s="929"/>
      <c r="S144" s="929"/>
      <c r="T144" s="929"/>
      <c r="U144" s="929"/>
      <c r="V144" s="929"/>
      <c r="W144" s="929"/>
      <c r="X144" s="929"/>
      <c r="Y144" s="929"/>
      <c r="Z144" s="929"/>
    </row>
    <row r="145" ht="15.75" customHeight="1">
      <c r="A145" s="929"/>
      <c r="B145" s="952"/>
      <c r="C145" s="952"/>
      <c r="D145" s="929"/>
      <c r="E145" s="929"/>
      <c r="F145" s="929"/>
      <c r="G145" s="929"/>
      <c r="H145" s="929"/>
      <c r="I145" s="929"/>
      <c r="J145" s="929"/>
      <c r="K145" s="929"/>
      <c r="L145" s="929"/>
      <c r="M145" s="929"/>
      <c r="N145" s="929"/>
      <c r="O145" s="929"/>
      <c r="P145" s="929"/>
      <c r="Q145" s="929"/>
      <c r="R145" s="929"/>
      <c r="S145" s="929"/>
      <c r="T145" s="929"/>
      <c r="U145" s="929"/>
      <c r="V145" s="929"/>
      <c r="W145" s="929"/>
      <c r="X145" s="929"/>
      <c r="Y145" s="929"/>
      <c r="Z145" s="929"/>
    </row>
    <row r="146" ht="15.75" customHeight="1">
      <c r="A146" s="929"/>
      <c r="B146" s="952"/>
      <c r="C146" s="952"/>
      <c r="D146" s="929"/>
      <c r="E146" s="929"/>
      <c r="F146" s="929"/>
      <c r="G146" s="929"/>
      <c r="H146" s="929"/>
      <c r="I146" s="929"/>
      <c r="J146" s="929"/>
      <c r="K146" s="929"/>
      <c r="L146" s="929"/>
      <c r="M146" s="929"/>
      <c r="N146" s="929"/>
      <c r="O146" s="929"/>
      <c r="P146" s="929"/>
      <c r="Q146" s="929"/>
      <c r="R146" s="929"/>
      <c r="S146" s="929"/>
      <c r="T146" s="929"/>
      <c r="U146" s="929"/>
      <c r="V146" s="929"/>
      <c r="W146" s="929"/>
      <c r="X146" s="929"/>
      <c r="Y146" s="929"/>
      <c r="Z146" s="929"/>
    </row>
    <row r="147" ht="15.75" customHeight="1">
      <c r="A147" s="929"/>
      <c r="B147" s="952"/>
      <c r="C147" s="952"/>
      <c r="D147" s="929"/>
      <c r="E147" s="929"/>
      <c r="F147" s="929"/>
      <c r="G147" s="929"/>
      <c r="H147" s="929"/>
      <c r="I147" s="929"/>
      <c r="J147" s="929"/>
      <c r="K147" s="929"/>
      <c r="L147" s="929"/>
      <c r="M147" s="929"/>
      <c r="N147" s="929"/>
      <c r="O147" s="929"/>
      <c r="P147" s="929"/>
      <c r="Q147" s="929"/>
      <c r="R147" s="929"/>
      <c r="S147" s="929"/>
      <c r="T147" s="929"/>
      <c r="U147" s="929"/>
      <c r="V147" s="929"/>
      <c r="W147" s="929"/>
      <c r="X147" s="929"/>
      <c r="Y147" s="929"/>
      <c r="Z147" s="929"/>
    </row>
    <row r="148" ht="15.75" customHeight="1">
      <c r="A148" s="929"/>
      <c r="B148" s="952"/>
      <c r="C148" s="952"/>
      <c r="D148" s="929"/>
      <c r="E148" s="929"/>
      <c r="F148" s="929"/>
      <c r="G148" s="929"/>
      <c r="H148" s="929"/>
      <c r="I148" s="929"/>
      <c r="J148" s="929"/>
      <c r="K148" s="929"/>
      <c r="L148" s="929"/>
      <c r="M148" s="929"/>
      <c r="N148" s="929"/>
      <c r="O148" s="929"/>
      <c r="P148" s="929"/>
      <c r="Q148" s="929"/>
      <c r="R148" s="929"/>
      <c r="S148" s="929"/>
      <c r="T148" s="929"/>
      <c r="U148" s="929"/>
      <c r="V148" s="929"/>
      <c r="W148" s="929"/>
      <c r="X148" s="929"/>
      <c r="Y148" s="929"/>
      <c r="Z148" s="929"/>
    </row>
    <row r="149" ht="15.75" customHeight="1">
      <c r="A149" s="929"/>
      <c r="B149" s="952"/>
      <c r="C149" s="952"/>
      <c r="D149" s="929"/>
      <c r="E149" s="929"/>
      <c r="F149" s="929"/>
      <c r="G149" s="929"/>
      <c r="H149" s="929"/>
      <c r="I149" s="929"/>
      <c r="J149" s="929"/>
      <c r="K149" s="929"/>
      <c r="L149" s="929"/>
      <c r="M149" s="929"/>
      <c r="N149" s="929"/>
      <c r="O149" s="929"/>
      <c r="P149" s="929"/>
      <c r="Q149" s="929"/>
      <c r="R149" s="929"/>
      <c r="S149" s="929"/>
      <c r="T149" s="929"/>
      <c r="U149" s="929"/>
      <c r="V149" s="929"/>
      <c r="W149" s="929"/>
      <c r="X149" s="929"/>
      <c r="Y149" s="929"/>
      <c r="Z149" s="929"/>
    </row>
    <row r="150" ht="15.75" customHeight="1">
      <c r="A150" s="929"/>
      <c r="B150" s="952"/>
      <c r="C150" s="952"/>
      <c r="D150" s="929"/>
      <c r="E150" s="929"/>
      <c r="F150" s="929"/>
      <c r="G150" s="929"/>
      <c r="H150" s="929"/>
      <c r="I150" s="929"/>
      <c r="J150" s="929"/>
      <c r="K150" s="929"/>
      <c r="L150" s="929"/>
      <c r="M150" s="929"/>
      <c r="N150" s="929"/>
      <c r="O150" s="929"/>
      <c r="P150" s="929"/>
      <c r="Q150" s="929"/>
      <c r="R150" s="929"/>
      <c r="S150" s="929"/>
      <c r="T150" s="929"/>
      <c r="U150" s="929"/>
      <c r="V150" s="929"/>
      <c r="W150" s="929"/>
      <c r="X150" s="929"/>
      <c r="Y150" s="929"/>
      <c r="Z150" s="929"/>
    </row>
    <row r="151" ht="15.75" customHeight="1">
      <c r="A151" s="929"/>
      <c r="B151" s="952"/>
      <c r="C151" s="952"/>
      <c r="D151" s="929"/>
      <c r="E151" s="929"/>
      <c r="F151" s="929"/>
      <c r="G151" s="929"/>
      <c r="H151" s="929"/>
      <c r="I151" s="929"/>
      <c r="J151" s="929"/>
      <c r="K151" s="929"/>
      <c r="L151" s="929"/>
      <c r="M151" s="929"/>
      <c r="N151" s="929"/>
      <c r="O151" s="929"/>
      <c r="P151" s="929"/>
      <c r="Q151" s="929"/>
      <c r="R151" s="929"/>
      <c r="S151" s="929"/>
      <c r="T151" s="929"/>
      <c r="U151" s="929"/>
      <c r="V151" s="929"/>
      <c r="W151" s="929"/>
      <c r="X151" s="929"/>
      <c r="Y151" s="929"/>
      <c r="Z151" s="929"/>
    </row>
    <row r="152" ht="15.75" customHeight="1">
      <c r="A152" s="929"/>
      <c r="B152" s="952"/>
      <c r="C152" s="952"/>
      <c r="D152" s="929"/>
      <c r="E152" s="929"/>
      <c r="F152" s="929"/>
      <c r="G152" s="929"/>
      <c r="H152" s="929"/>
      <c r="I152" s="929"/>
      <c r="J152" s="929"/>
      <c r="K152" s="929"/>
      <c r="L152" s="929"/>
      <c r="M152" s="929"/>
      <c r="N152" s="929"/>
      <c r="O152" s="929"/>
      <c r="P152" s="929"/>
      <c r="Q152" s="929"/>
      <c r="R152" s="929"/>
      <c r="S152" s="929"/>
      <c r="T152" s="929"/>
      <c r="U152" s="929"/>
      <c r="V152" s="929"/>
      <c r="W152" s="929"/>
      <c r="X152" s="929"/>
      <c r="Y152" s="929"/>
      <c r="Z152" s="929"/>
    </row>
    <row r="153" ht="15.75" customHeight="1">
      <c r="A153" s="929"/>
      <c r="B153" s="952"/>
      <c r="C153" s="952"/>
      <c r="D153" s="929"/>
      <c r="E153" s="929"/>
      <c r="F153" s="929"/>
      <c r="G153" s="929"/>
      <c r="H153" s="929"/>
      <c r="I153" s="929"/>
      <c r="J153" s="929"/>
      <c r="K153" s="929"/>
      <c r="L153" s="929"/>
      <c r="M153" s="929"/>
      <c r="N153" s="929"/>
      <c r="O153" s="929"/>
      <c r="P153" s="929"/>
      <c r="Q153" s="929"/>
      <c r="R153" s="929"/>
      <c r="S153" s="929"/>
      <c r="T153" s="929"/>
      <c r="U153" s="929"/>
      <c r="V153" s="929"/>
      <c r="W153" s="929"/>
      <c r="X153" s="929"/>
      <c r="Y153" s="929"/>
      <c r="Z153" s="929"/>
    </row>
    <row r="154" ht="15.75" customHeight="1">
      <c r="A154" s="929"/>
      <c r="B154" s="952"/>
      <c r="C154" s="952"/>
      <c r="D154" s="929"/>
      <c r="E154" s="929"/>
      <c r="F154" s="929"/>
      <c r="G154" s="929"/>
      <c r="H154" s="929"/>
      <c r="I154" s="929"/>
      <c r="J154" s="929"/>
      <c r="K154" s="929"/>
      <c r="L154" s="929"/>
      <c r="M154" s="929"/>
      <c r="N154" s="929"/>
      <c r="O154" s="929"/>
      <c r="P154" s="929"/>
      <c r="Q154" s="929"/>
      <c r="R154" s="929"/>
      <c r="S154" s="929"/>
      <c r="T154" s="929"/>
      <c r="U154" s="929"/>
      <c r="V154" s="929"/>
      <c r="W154" s="929"/>
      <c r="X154" s="929"/>
      <c r="Y154" s="929"/>
      <c r="Z154" s="929"/>
    </row>
    <row r="155" ht="15.75" customHeight="1">
      <c r="A155" s="929"/>
      <c r="B155" s="952"/>
      <c r="C155" s="952"/>
      <c r="D155" s="929"/>
      <c r="E155" s="929"/>
      <c r="F155" s="929"/>
      <c r="G155" s="929"/>
      <c r="H155" s="929"/>
      <c r="I155" s="929"/>
      <c r="J155" s="929"/>
      <c r="K155" s="929"/>
      <c r="L155" s="929"/>
      <c r="M155" s="929"/>
      <c r="N155" s="929"/>
      <c r="O155" s="929"/>
      <c r="P155" s="929"/>
      <c r="Q155" s="929"/>
      <c r="R155" s="929"/>
      <c r="S155" s="929"/>
      <c r="T155" s="929"/>
      <c r="U155" s="929"/>
      <c r="V155" s="929"/>
      <c r="W155" s="929"/>
      <c r="X155" s="929"/>
      <c r="Y155" s="929"/>
      <c r="Z155" s="929"/>
    </row>
    <row r="156" ht="15.75" customHeight="1">
      <c r="A156" s="929"/>
      <c r="B156" s="952"/>
      <c r="C156" s="952"/>
      <c r="D156" s="929"/>
      <c r="E156" s="929"/>
      <c r="F156" s="929"/>
      <c r="G156" s="929"/>
      <c r="H156" s="929"/>
      <c r="I156" s="929"/>
      <c r="J156" s="929"/>
      <c r="K156" s="929"/>
      <c r="L156" s="929"/>
      <c r="M156" s="929"/>
      <c r="N156" s="929"/>
      <c r="O156" s="929"/>
      <c r="P156" s="929"/>
      <c r="Q156" s="929"/>
      <c r="R156" s="929"/>
      <c r="S156" s="929"/>
      <c r="T156" s="929"/>
      <c r="U156" s="929"/>
      <c r="V156" s="929"/>
      <c r="W156" s="929"/>
      <c r="X156" s="929"/>
      <c r="Y156" s="929"/>
      <c r="Z156" s="929"/>
    </row>
    <row r="157" ht="15.75" customHeight="1">
      <c r="A157" s="929"/>
      <c r="B157" s="952"/>
      <c r="C157" s="952"/>
      <c r="D157" s="929"/>
      <c r="E157" s="929"/>
      <c r="F157" s="929"/>
      <c r="G157" s="929"/>
      <c r="H157" s="929"/>
      <c r="I157" s="929"/>
      <c r="J157" s="929"/>
      <c r="K157" s="929"/>
      <c r="L157" s="929"/>
      <c r="M157" s="929"/>
      <c r="N157" s="929"/>
      <c r="O157" s="929"/>
      <c r="P157" s="929"/>
      <c r="Q157" s="929"/>
      <c r="R157" s="929"/>
      <c r="S157" s="929"/>
      <c r="T157" s="929"/>
      <c r="U157" s="929"/>
      <c r="V157" s="929"/>
      <c r="W157" s="929"/>
      <c r="X157" s="929"/>
      <c r="Y157" s="929"/>
      <c r="Z157" s="929"/>
    </row>
    <row r="158" ht="15.75" customHeight="1">
      <c r="A158" s="929"/>
      <c r="B158" s="952"/>
      <c r="C158" s="952"/>
      <c r="D158" s="929"/>
      <c r="E158" s="929"/>
      <c r="F158" s="929"/>
      <c r="G158" s="929"/>
      <c r="H158" s="929"/>
      <c r="I158" s="929"/>
      <c r="J158" s="929"/>
      <c r="K158" s="929"/>
      <c r="L158" s="929"/>
      <c r="M158" s="929"/>
      <c r="N158" s="929"/>
      <c r="O158" s="929"/>
      <c r="P158" s="929"/>
      <c r="Q158" s="929"/>
      <c r="R158" s="929"/>
      <c r="S158" s="929"/>
      <c r="T158" s="929"/>
      <c r="U158" s="929"/>
      <c r="V158" s="929"/>
      <c r="W158" s="929"/>
      <c r="X158" s="929"/>
      <c r="Y158" s="929"/>
      <c r="Z158" s="929"/>
    </row>
    <row r="159" ht="15.75" customHeight="1">
      <c r="A159" s="929"/>
      <c r="B159" s="952"/>
      <c r="C159" s="952"/>
      <c r="D159" s="929"/>
      <c r="E159" s="929"/>
      <c r="F159" s="929"/>
      <c r="G159" s="929"/>
      <c r="H159" s="929"/>
      <c r="I159" s="929"/>
      <c r="J159" s="929"/>
      <c r="K159" s="929"/>
      <c r="L159" s="929"/>
      <c r="M159" s="929"/>
      <c r="N159" s="929"/>
      <c r="O159" s="929"/>
      <c r="P159" s="929"/>
      <c r="Q159" s="929"/>
      <c r="R159" s="929"/>
      <c r="S159" s="929"/>
      <c r="T159" s="929"/>
      <c r="U159" s="929"/>
      <c r="V159" s="929"/>
      <c r="W159" s="929"/>
      <c r="X159" s="929"/>
      <c r="Y159" s="929"/>
      <c r="Z159" s="929"/>
    </row>
    <row r="160" ht="15.75" customHeight="1">
      <c r="A160" s="929"/>
      <c r="B160" s="952"/>
      <c r="C160" s="952"/>
      <c r="D160" s="929"/>
      <c r="E160" s="929"/>
      <c r="F160" s="929"/>
      <c r="G160" s="929"/>
      <c r="H160" s="929"/>
      <c r="I160" s="929"/>
      <c r="J160" s="929"/>
      <c r="K160" s="929"/>
      <c r="L160" s="929"/>
      <c r="M160" s="929"/>
      <c r="N160" s="929"/>
      <c r="O160" s="929"/>
      <c r="P160" s="929"/>
      <c r="Q160" s="929"/>
      <c r="R160" s="929"/>
      <c r="S160" s="929"/>
      <c r="T160" s="929"/>
      <c r="U160" s="929"/>
      <c r="V160" s="929"/>
      <c r="W160" s="929"/>
      <c r="X160" s="929"/>
      <c r="Y160" s="929"/>
      <c r="Z160" s="929"/>
    </row>
    <row r="161" ht="15.75" customHeight="1">
      <c r="A161" s="929"/>
      <c r="B161" s="952"/>
      <c r="C161" s="952"/>
      <c r="D161" s="929"/>
      <c r="E161" s="929"/>
      <c r="F161" s="929"/>
      <c r="G161" s="929"/>
      <c r="H161" s="929"/>
      <c r="I161" s="929"/>
      <c r="J161" s="929"/>
      <c r="K161" s="929"/>
      <c r="L161" s="929"/>
      <c r="M161" s="929"/>
      <c r="N161" s="929"/>
      <c r="O161" s="929"/>
      <c r="P161" s="929"/>
      <c r="Q161" s="929"/>
      <c r="R161" s="929"/>
      <c r="S161" s="929"/>
      <c r="T161" s="929"/>
      <c r="U161" s="929"/>
      <c r="V161" s="929"/>
      <c r="W161" s="929"/>
      <c r="X161" s="929"/>
      <c r="Y161" s="929"/>
      <c r="Z161" s="929"/>
    </row>
    <row r="162" ht="15.75" customHeight="1">
      <c r="A162" s="929"/>
      <c r="B162" s="952"/>
      <c r="C162" s="952"/>
      <c r="D162" s="929"/>
      <c r="E162" s="929"/>
      <c r="F162" s="929"/>
      <c r="G162" s="929"/>
      <c r="H162" s="929"/>
      <c r="I162" s="929"/>
      <c r="J162" s="929"/>
      <c r="K162" s="929"/>
      <c r="L162" s="929"/>
      <c r="M162" s="929"/>
      <c r="N162" s="929"/>
      <c r="O162" s="929"/>
      <c r="P162" s="929"/>
      <c r="Q162" s="929"/>
      <c r="R162" s="929"/>
      <c r="S162" s="929"/>
      <c r="T162" s="929"/>
      <c r="U162" s="929"/>
      <c r="V162" s="929"/>
      <c r="W162" s="929"/>
      <c r="X162" s="929"/>
      <c r="Y162" s="929"/>
      <c r="Z162" s="929"/>
    </row>
    <row r="163" ht="15.75" customHeight="1">
      <c r="A163" s="929"/>
      <c r="B163" s="952"/>
      <c r="C163" s="952"/>
      <c r="D163" s="929"/>
      <c r="E163" s="929"/>
      <c r="F163" s="929"/>
      <c r="G163" s="929"/>
      <c r="H163" s="929"/>
      <c r="I163" s="929"/>
      <c r="J163" s="929"/>
      <c r="K163" s="929"/>
      <c r="L163" s="929"/>
      <c r="M163" s="929"/>
      <c r="N163" s="929"/>
      <c r="O163" s="929"/>
      <c r="P163" s="929"/>
      <c r="Q163" s="929"/>
      <c r="R163" s="929"/>
      <c r="S163" s="929"/>
      <c r="T163" s="929"/>
      <c r="U163" s="929"/>
      <c r="V163" s="929"/>
      <c r="W163" s="929"/>
      <c r="X163" s="929"/>
      <c r="Y163" s="929"/>
      <c r="Z163" s="929"/>
    </row>
    <row r="164" ht="15.75" customHeight="1">
      <c r="A164" s="929"/>
      <c r="B164" s="952"/>
      <c r="C164" s="952"/>
      <c r="D164" s="929"/>
      <c r="E164" s="929"/>
      <c r="F164" s="929"/>
      <c r="G164" s="929"/>
      <c r="H164" s="929"/>
      <c r="I164" s="929"/>
      <c r="J164" s="929"/>
      <c r="K164" s="929"/>
      <c r="L164" s="929"/>
      <c r="M164" s="929"/>
      <c r="N164" s="929"/>
      <c r="O164" s="929"/>
      <c r="P164" s="929"/>
      <c r="Q164" s="929"/>
      <c r="R164" s="929"/>
      <c r="S164" s="929"/>
      <c r="T164" s="929"/>
      <c r="U164" s="929"/>
      <c r="V164" s="929"/>
      <c r="W164" s="929"/>
      <c r="X164" s="929"/>
      <c r="Y164" s="929"/>
      <c r="Z164" s="929"/>
    </row>
    <row r="165" ht="15.75" customHeight="1">
      <c r="A165" s="929"/>
      <c r="B165" s="952"/>
      <c r="C165" s="952"/>
      <c r="D165" s="929"/>
      <c r="E165" s="929"/>
      <c r="F165" s="929"/>
      <c r="G165" s="929"/>
      <c r="H165" s="929"/>
      <c r="I165" s="929"/>
      <c r="J165" s="929"/>
      <c r="K165" s="929"/>
      <c r="L165" s="929"/>
      <c r="M165" s="929"/>
      <c r="N165" s="929"/>
      <c r="O165" s="929"/>
      <c r="P165" s="929"/>
      <c r="Q165" s="929"/>
      <c r="R165" s="929"/>
      <c r="S165" s="929"/>
      <c r="T165" s="929"/>
      <c r="U165" s="929"/>
      <c r="V165" s="929"/>
      <c r="W165" s="929"/>
      <c r="X165" s="929"/>
      <c r="Y165" s="929"/>
      <c r="Z165" s="929"/>
    </row>
    <row r="166" ht="15.75" customHeight="1">
      <c r="A166" s="929"/>
      <c r="B166" s="952"/>
      <c r="C166" s="952"/>
      <c r="D166" s="929"/>
      <c r="E166" s="929"/>
      <c r="F166" s="929"/>
      <c r="G166" s="929"/>
      <c r="H166" s="929"/>
      <c r="I166" s="929"/>
      <c r="J166" s="929"/>
      <c r="K166" s="929"/>
      <c r="L166" s="929"/>
      <c r="M166" s="929"/>
      <c r="N166" s="929"/>
      <c r="O166" s="929"/>
      <c r="P166" s="929"/>
      <c r="Q166" s="929"/>
      <c r="R166" s="929"/>
      <c r="S166" s="929"/>
      <c r="T166" s="929"/>
      <c r="U166" s="929"/>
      <c r="V166" s="929"/>
      <c r="W166" s="929"/>
      <c r="X166" s="929"/>
      <c r="Y166" s="929"/>
      <c r="Z166" s="929"/>
    </row>
    <row r="167" ht="15.75" customHeight="1">
      <c r="A167" s="929"/>
      <c r="B167" s="952"/>
      <c r="C167" s="952"/>
      <c r="D167" s="929"/>
      <c r="E167" s="929"/>
      <c r="F167" s="929"/>
      <c r="G167" s="929"/>
      <c r="H167" s="929"/>
      <c r="I167" s="929"/>
      <c r="J167" s="929"/>
      <c r="K167" s="929"/>
      <c r="L167" s="929"/>
      <c r="M167" s="929"/>
      <c r="N167" s="929"/>
      <c r="O167" s="929"/>
      <c r="P167" s="929"/>
      <c r="Q167" s="929"/>
      <c r="R167" s="929"/>
      <c r="S167" s="929"/>
      <c r="T167" s="929"/>
      <c r="U167" s="929"/>
      <c r="V167" s="929"/>
      <c r="W167" s="929"/>
      <c r="X167" s="929"/>
      <c r="Y167" s="929"/>
      <c r="Z167" s="929"/>
    </row>
    <row r="168" ht="15.75" customHeight="1">
      <c r="A168" s="929"/>
      <c r="B168" s="952"/>
      <c r="C168" s="952"/>
      <c r="D168" s="929"/>
      <c r="E168" s="929"/>
      <c r="F168" s="929"/>
      <c r="G168" s="929"/>
      <c r="H168" s="929"/>
      <c r="I168" s="929"/>
      <c r="J168" s="929"/>
      <c r="K168" s="929"/>
      <c r="L168" s="929"/>
      <c r="M168" s="929"/>
      <c r="N168" s="929"/>
      <c r="O168" s="929"/>
      <c r="P168" s="929"/>
      <c r="Q168" s="929"/>
      <c r="R168" s="929"/>
      <c r="S168" s="929"/>
      <c r="T168" s="929"/>
      <c r="U168" s="929"/>
      <c r="V168" s="929"/>
      <c r="W168" s="929"/>
      <c r="X168" s="929"/>
      <c r="Y168" s="929"/>
      <c r="Z168" s="929"/>
    </row>
    <row r="169" ht="15.75" customHeight="1">
      <c r="A169" s="929"/>
      <c r="B169" s="952"/>
      <c r="C169" s="952"/>
      <c r="D169" s="929"/>
      <c r="E169" s="929"/>
      <c r="F169" s="929"/>
      <c r="G169" s="929"/>
      <c r="H169" s="929"/>
      <c r="I169" s="929"/>
      <c r="J169" s="929"/>
      <c r="K169" s="929"/>
      <c r="L169" s="929"/>
      <c r="M169" s="929"/>
      <c r="N169" s="929"/>
      <c r="O169" s="929"/>
      <c r="P169" s="929"/>
      <c r="Q169" s="929"/>
      <c r="R169" s="929"/>
      <c r="S169" s="929"/>
      <c r="T169" s="929"/>
      <c r="U169" s="929"/>
      <c r="V169" s="929"/>
      <c r="W169" s="929"/>
      <c r="X169" s="929"/>
      <c r="Y169" s="929"/>
      <c r="Z169" s="929"/>
    </row>
    <row r="170" ht="15.75" customHeight="1">
      <c r="A170" s="929"/>
      <c r="B170" s="952"/>
      <c r="C170" s="952"/>
      <c r="D170" s="929"/>
      <c r="E170" s="929"/>
      <c r="F170" s="929"/>
      <c r="G170" s="929"/>
      <c r="H170" s="929"/>
      <c r="I170" s="929"/>
      <c r="J170" s="929"/>
      <c r="K170" s="929"/>
      <c r="L170" s="929"/>
      <c r="M170" s="929"/>
      <c r="N170" s="929"/>
      <c r="O170" s="929"/>
      <c r="P170" s="929"/>
      <c r="Q170" s="929"/>
      <c r="R170" s="929"/>
      <c r="S170" s="929"/>
      <c r="T170" s="929"/>
      <c r="U170" s="929"/>
      <c r="V170" s="929"/>
      <c r="W170" s="929"/>
      <c r="X170" s="929"/>
      <c r="Y170" s="929"/>
      <c r="Z170" s="929"/>
    </row>
    <row r="171" ht="15.75" customHeight="1">
      <c r="A171" s="929"/>
      <c r="B171" s="952"/>
      <c r="C171" s="952"/>
      <c r="D171" s="929"/>
      <c r="E171" s="929"/>
      <c r="F171" s="929"/>
      <c r="G171" s="929"/>
      <c r="H171" s="929"/>
      <c r="I171" s="929"/>
      <c r="J171" s="929"/>
      <c r="K171" s="929"/>
      <c r="L171" s="929"/>
      <c r="M171" s="929"/>
      <c r="N171" s="929"/>
      <c r="O171" s="929"/>
      <c r="P171" s="929"/>
      <c r="Q171" s="929"/>
      <c r="R171" s="929"/>
      <c r="S171" s="929"/>
      <c r="T171" s="929"/>
      <c r="U171" s="929"/>
      <c r="V171" s="929"/>
      <c r="W171" s="929"/>
      <c r="X171" s="929"/>
      <c r="Y171" s="929"/>
      <c r="Z171" s="929"/>
    </row>
    <row r="172" ht="15.75" customHeight="1">
      <c r="A172" s="929"/>
      <c r="B172" s="952"/>
      <c r="C172" s="952"/>
      <c r="D172" s="929"/>
      <c r="E172" s="929"/>
      <c r="F172" s="929"/>
      <c r="G172" s="929"/>
      <c r="H172" s="929"/>
      <c r="I172" s="929"/>
      <c r="J172" s="929"/>
      <c r="K172" s="929"/>
      <c r="L172" s="929"/>
      <c r="M172" s="929"/>
      <c r="N172" s="929"/>
      <c r="O172" s="929"/>
      <c r="P172" s="929"/>
      <c r="Q172" s="929"/>
      <c r="R172" s="929"/>
      <c r="S172" s="929"/>
      <c r="T172" s="929"/>
      <c r="U172" s="929"/>
      <c r="V172" s="929"/>
      <c r="W172" s="929"/>
      <c r="X172" s="929"/>
      <c r="Y172" s="929"/>
      <c r="Z172" s="929"/>
    </row>
    <row r="173" ht="15.75" customHeight="1">
      <c r="A173" s="929"/>
      <c r="B173" s="952"/>
      <c r="C173" s="952"/>
      <c r="D173" s="929"/>
      <c r="E173" s="929"/>
      <c r="F173" s="929"/>
      <c r="G173" s="929"/>
      <c r="H173" s="929"/>
      <c r="I173" s="929"/>
      <c r="J173" s="929"/>
      <c r="K173" s="929"/>
      <c r="L173" s="929"/>
      <c r="M173" s="929"/>
      <c r="N173" s="929"/>
      <c r="O173" s="929"/>
      <c r="P173" s="929"/>
      <c r="Q173" s="929"/>
      <c r="R173" s="929"/>
      <c r="S173" s="929"/>
      <c r="T173" s="929"/>
      <c r="U173" s="929"/>
      <c r="V173" s="929"/>
      <c r="W173" s="929"/>
      <c r="X173" s="929"/>
      <c r="Y173" s="929"/>
      <c r="Z173" s="929"/>
    </row>
    <row r="174" ht="15.75" customHeight="1">
      <c r="A174" s="929"/>
      <c r="B174" s="952"/>
      <c r="C174" s="952"/>
      <c r="D174" s="929"/>
      <c r="E174" s="929"/>
      <c r="F174" s="929"/>
      <c r="G174" s="929"/>
      <c r="H174" s="929"/>
      <c r="I174" s="929"/>
      <c r="J174" s="929"/>
      <c r="K174" s="929"/>
      <c r="L174" s="929"/>
      <c r="M174" s="929"/>
      <c r="N174" s="929"/>
      <c r="O174" s="929"/>
      <c r="P174" s="929"/>
      <c r="Q174" s="929"/>
      <c r="R174" s="929"/>
      <c r="S174" s="929"/>
      <c r="T174" s="929"/>
      <c r="U174" s="929"/>
      <c r="V174" s="929"/>
      <c r="W174" s="929"/>
      <c r="X174" s="929"/>
      <c r="Y174" s="929"/>
      <c r="Z174" s="929"/>
    </row>
    <row r="175" ht="15.75" customHeight="1">
      <c r="A175" s="929"/>
      <c r="B175" s="952"/>
      <c r="C175" s="952"/>
      <c r="D175" s="929"/>
      <c r="E175" s="929"/>
      <c r="F175" s="929"/>
      <c r="G175" s="929"/>
      <c r="H175" s="929"/>
      <c r="I175" s="929"/>
      <c r="J175" s="929"/>
      <c r="K175" s="929"/>
      <c r="L175" s="929"/>
      <c r="M175" s="929"/>
      <c r="N175" s="929"/>
      <c r="O175" s="929"/>
      <c r="P175" s="929"/>
      <c r="Q175" s="929"/>
      <c r="R175" s="929"/>
      <c r="S175" s="929"/>
      <c r="T175" s="929"/>
      <c r="U175" s="929"/>
      <c r="V175" s="929"/>
      <c r="W175" s="929"/>
      <c r="X175" s="929"/>
      <c r="Y175" s="929"/>
      <c r="Z175" s="929"/>
    </row>
    <row r="176" ht="15.75" customHeight="1">
      <c r="A176" s="929"/>
      <c r="B176" s="952"/>
      <c r="C176" s="952"/>
      <c r="D176" s="929"/>
      <c r="E176" s="929"/>
      <c r="F176" s="929"/>
      <c r="G176" s="929"/>
      <c r="H176" s="929"/>
      <c r="I176" s="929"/>
      <c r="J176" s="929"/>
      <c r="K176" s="929"/>
      <c r="L176" s="929"/>
      <c r="M176" s="929"/>
      <c r="N176" s="929"/>
      <c r="O176" s="929"/>
      <c r="P176" s="929"/>
      <c r="Q176" s="929"/>
      <c r="R176" s="929"/>
      <c r="S176" s="929"/>
      <c r="T176" s="929"/>
      <c r="U176" s="929"/>
      <c r="V176" s="929"/>
      <c r="W176" s="929"/>
      <c r="X176" s="929"/>
      <c r="Y176" s="929"/>
      <c r="Z176" s="929"/>
    </row>
    <row r="177" ht="15.75" customHeight="1">
      <c r="A177" s="929"/>
      <c r="B177" s="952"/>
      <c r="C177" s="952"/>
      <c r="D177" s="929"/>
      <c r="E177" s="929"/>
      <c r="F177" s="929"/>
      <c r="G177" s="929"/>
      <c r="H177" s="929"/>
      <c r="I177" s="929"/>
      <c r="J177" s="929"/>
      <c r="K177" s="929"/>
      <c r="L177" s="929"/>
      <c r="M177" s="929"/>
      <c r="N177" s="929"/>
      <c r="O177" s="929"/>
      <c r="P177" s="929"/>
      <c r="Q177" s="929"/>
      <c r="R177" s="929"/>
      <c r="S177" s="929"/>
      <c r="T177" s="929"/>
      <c r="U177" s="929"/>
      <c r="V177" s="929"/>
      <c r="W177" s="929"/>
      <c r="X177" s="929"/>
      <c r="Y177" s="929"/>
      <c r="Z177" s="929"/>
    </row>
    <row r="178" ht="15.75" customHeight="1">
      <c r="A178" s="929"/>
      <c r="B178" s="952"/>
      <c r="C178" s="952"/>
      <c r="D178" s="929"/>
      <c r="E178" s="929"/>
      <c r="F178" s="929"/>
      <c r="G178" s="929"/>
      <c r="H178" s="929"/>
      <c r="I178" s="929"/>
      <c r="J178" s="929"/>
      <c r="K178" s="929"/>
      <c r="L178" s="929"/>
      <c r="M178" s="929"/>
      <c r="N178" s="929"/>
      <c r="O178" s="929"/>
      <c r="P178" s="929"/>
      <c r="Q178" s="929"/>
      <c r="R178" s="929"/>
      <c r="S178" s="929"/>
      <c r="T178" s="929"/>
      <c r="U178" s="929"/>
      <c r="V178" s="929"/>
      <c r="W178" s="929"/>
      <c r="X178" s="929"/>
      <c r="Y178" s="929"/>
      <c r="Z178" s="929"/>
    </row>
    <row r="179" ht="15.75" customHeight="1">
      <c r="A179" s="929"/>
      <c r="B179" s="952"/>
      <c r="C179" s="952"/>
      <c r="D179" s="929"/>
      <c r="E179" s="929"/>
      <c r="F179" s="929"/>
      <c r="G179" s="929"/>
      <c r="H179" s="929"/>
      <c r="I179" s="929"/>
      <c r="J179" s="929"/>
      <c r="K179" s="929"/>
      <c r="L179" s="929"/>
      <c r="M179" s="929"/>
      <c r="N179" s="929"/>
      <c r="O179" s="929"/>
      <c r="P179" s="929"/>
      <c r="Q179" s="929"/>
      <c r="R179" s="929"/>
      <c r="S179" s="929"/>
      <c r="T179" s="929"/>
      <c r="U179" s="929"/>
      <c r="V179" s="929"/>
      <c r="W179" s="929"/>
      <c r="X179" s="929"/>
      <c r="Y179" s="929"/>
      <c r="Z179" s="929"/>
    </row>
    <row r="180" ht="15.75" customHeight="1">
      <c r="A180" s="929"/>
      <c r="B180" s="952"/>
      <c r="C180" s="952"/>
      <c r="D180" s="929"/>
      <c r="E180" s="929"/>
      <c r="F180" s="929"/>
      <c r="G180" s="929"/>
      <c r="H180" s="929"/>
      <c r="I180" s="929"/>
      <c r="J180" s="929"/>
      <c r="K180" s="929"/>
      <c r="L180" s="929"/>
      <c r="M180" s="929"/>
      <c r="N180" s="929"/>
      <c r="O180" s="929"/>
      <c r="P180" s="929"/>
      <c r="Q180" s="929"/>
      <c r="R180" s="929"/>
      <c r="S180" s="929"/>
      <c r="T180" s="929"/>
      <c r="U180" s="929"/>
      <c r="V180" s="929"/>
      <c r="W180" s="929"/>
      <c r="X180" s="929"/>
      <c r="Y180" s="929"/>
      <c r="Z180" s="929"/>
    </row>
    <row r="181" ht="15.75" customHeight="1">
      <c r="A181" s="929"/>
      <c r="B181" s="952"/>
      <c r="C181" s="952"/>
      <c r="D181" s="929"/>
      <c r="E181" s="929"/>
      <c r="F181" s="929"/>
      <c r="G181" s="929"/>
      <c r="H181" s="929"/>
      <c r="I181" s="929"/>
      <c r="J181" s="929"/>
      <c r="K181" s="929"/>
      <c r="L181" s="929"/>
      <c r="M181" s="929"/>
      <c r="N181" s="929"/>
      <c r="O181" s="929"/>
      <c r="P181" s="929"/>
      <c r="Q181" s="929"/>
      <c r="R181" s="929"/>
      <c r="S181" s="929"/>
      <c r="T181" s="929"/>
      <c r="U181" s="929"/>
      <c r="V181" s="929"/>
      <c r="W181" s="929"/>
      <c r="X181" s="929"/>
      <c r="Y181" s="929"/>
      <c r="Z181" s="929"/>
    </row>
    <row r="182" ht="15.75" customHeight="1">
      <c r="A182" s="929"/>
      <c r="B182" s="952"/>
      <c r="C182" s="952"/>
      <c r="D182" s="929"/>
      <c r="E182" s="929"/>
      <c r="F182" s="929"/>
      <c r="G182" s="929"/>
      <c r="H182" s="929"/>
      <c r="I182" s="929"/>
      <c r="J182" s="929"/>
      <c r="K182" s="929"/>
      <c r="L182" s="929"/>
      <c r="M182" s="929"/>
      <c r="N182" s="929"/>
      <c r="O182" s="929"/>
      <c r="P182" s="929"/>
      <c r="Q182" s="929"/>
      <c r="R182" s="929"/>
      <c r="S182" s="929"/>
      <c r="T182" s="929"/>
      <c r="U182" s="929"/>
      <c r="V182" s="929"/>
      <c r="W182" s="929"/>
      <c r="X182" s="929"/>
      <c r="Y182" s="929"/>
      <c r="Z182" s="929"/>
    </row>
    <row r="183" ht="15.75" customHeight="1">
      <c r="A183" s="929"/>
      <c r="B183" s="952"/>
      <c r="C183" s="952"/>
      <c r="D183" s="929"/>
      <c r="E183" s="929"/>
      <c r="F183" s="929"/>
      <c r="G183" s="929"/>
      <c r="H183" s="929"/>
      <c r="I183" s="929"/>
      <c r="J183" s="929"/>
      <c r="K183" s="929"/>
      <c r="L183" s="929"/>
      <c r="M183" s="929"/>
      <c r="N183" s="929"/>
      <c r="O183" s="929"/>
      <c r="P183" s="929"/>
      <c r="Q183" s="929"/>
      <c r="R183" s="929"/>
      <c r="S183" s="929"/>
      <c r="T183" s="929"/>
      <c r="U183" s="929"/>
      <c r="V183" s="929"/>
      <c r="W183" s="929"/>
      <c r="X183" s="929"/>
      <c r="Y183" s="929"/>
      <c r="Z183" s="929"/>
    </row>
    <row r="184" ht="15.75" customHeight="1">
      <c r="A184" s="929"/>
      <c r="B184" s="952"/>
      <c r="C184" s="952"/>
      <c r="D184" s="929"/>
      <c r="E184" s="929"/>
      <c r="F184" s="929"/>
      <c r="G184" s="929"/>
      <c r="H184" s="929"/>
      <c r="I184" s="929"/>
      <c r="J184" s="929"/>
      <c r="K184" s="929"/>
      <c r="L184" s="929"/>
      <c r="M184" s="929"/>
      <c r="N184" s="929"/>
      <c r="O184" s="929"/>
      <c r="P184" s="929"/>
      <c r="Q184" s="929"/>
      <c r="R184" s="929"/>
      <c r="S184" s="929"/>
      <c r="T184" s="929"/>
      <c r="U184" s="929"/>
      <c r="V184" s="929"/>
      <c r="W184" s="929"/>
      <c r="X184" s="929"/>
      <c r="Y184" s="929"/>
      <c r="Z184" s="929"/>
    </row>
    <row r="185" ht="15.75" customHeight="1">
      <c r="A185" s="929"/>
      <c r="B185" s="952"/>
      <c r="C185" s="952"/>
      <c r="D185" s="929"/>
      <c r="E185" s="929"/>
      <c r="F185" s="929"/>
      <c r="G185" s="929"/>
      <c r="H185" s="929"/>
      <c r="I185" s="929"/>
      <c r="J185" s="929"/>
      <c r="K185" s="929"/>
      <c r="L185" s="929"/>
      <c r="M185" s="929"/>
      <c r="N185" s="929"/>
      <c r="O185" s="929"/>
      <c r="P185" s="929"/>
      <c r="Q185" s="929"/>
      <c r="R185" s="929"/>
      <c r="S185" s="929"/>
      <c r="T185" s="929"/>
      <c r="U185" s="929"/>
      <c r="V185" s="929"/>
      <c r="W185" s="929"/>
      <c r="X185" s="929"/>
      <c r="Y185" s="929"/>
      <c r="Z185" s="929"/>
    </row>
    <row r="186" ht="15.75" customHeight="1">
      <c r="A186" s="929"/>
      <c r="B186" s="952"/>
      <c r="C186" s="952"/>
      <c r="D186" s="929"/>
      <c r="E186" s="929"/>
      <c r="F186" s="929"/>
      <c r="G186" s="929"/>
      <c r="H186" s="929"/>
      <c r="I186" s="929"/>
      <c r="J186" s="929"/>
      <c r="K186" s="929"/>
      <c r="L186" s="929"/>
      <c r="M186" s="929"/>
      <c r="N186" s="929"/>
      <c r="O186" s="929"/>
      <c r="P186" s="929"/>
      <c r="Q186" s="929"/>
      <c r="R186" s="929"/>
      <c r="S186" s="929"/>
      <c r="T186" s="929"/>
      <c r="U186" s="929"/>
      <c r="V186" s="929"/>
      <c r="W186" s="929"/>
      <c r="X186" s="929"/>
      <c r="Y186" s="929"/>
      <c r="Z186" s="929"/>
    </row>
    <row r="187" ht="15.75" customHeight="1">
      <c r="A187" s="929"/>
      <c r="B187" s="952"/>
      <c r="C187" s="952"/>
      <c r="D187" s="929"/>
      <c r="E187" s="929"/>
      <c r="F187" s="929"/>
      <c r="G187" s="929"/>
      <c r="H187" s="929"/>
      <c r="I187" s="929"/>
      <c r="J187" s="929"/>
      <c r="K187" s="929"/>
      <c r="L187" s="929"/>
      <c r="M187" s="929"/>
      <c r="N187" s="929"/>
      <c r="O187" s="929"/>
      <c r="P187" s="929"/>
      <c r="Q187" s="929"/>
      <c r="R187" s="929"/>
      <c r="S187" s="929"/>
      <c r="T187" s="929"/>
      <c r="U187" s="929"/>
      <c r="V187" s="929"/>
      <c r="W187" s="929"/>
      <c r="X187" s="929"/>
      <c r="Y187" s="929"/>
      <c r="Z187" s="929"/>
    </row>
    <row r="188" ht="15.75" customHeight="1">
      <c r="A188" s="929"/>
      <c r="B188" s="952"/>
      <c r="C188" s="952"/>
      <c r="D188" s="929"/>
      <c r="E188" s="929"/>
      <c r="F188" s="929"/>
      <c r="G188" s="929"/>
      <c r="H188" s="929"/>
      <c r="I188" s="929"/>
      <c r="J188" s="929"/>
      <c r="K188" s="929"/>
      <c r="L188" s="929"/>
      <c r="M188" s="929"/>
      <c r="N188" s="929"/>
      <c r="O188" s="929"/>
      <c r="P188" s="929"/>
      <c r="Q188" s="929"/>
      <c r="R188" s="929"/>
      <c r="S188" s="929"/>
      <c r="T188" s="929"/>
      <c r="U188" s="929"/>
      <c r="V188" s="929"/>
      <c r="W188" s="929"/>
      <c r="X188" s="929"/>
      <c r="Y188" s="929"/>
      <c r="Z188" s="929"/>
    </row>
    <row r="189" ht="15.75" customHeight="1">
      <c r="A189" s="929"/>
      <c r="B189" s="952"/>
      <c r="C189" s="952"/>
      <c r="D189" s="929"/>
      <c r="E189" s="929"/>
      <c r="F189" s="929"/>
      <c r="G189" s="929"/>
      <c r="H189" s="929"/>
      <c r="I189" s="929"/>
      <c r="J189" s="929"/>
      <c r="K189" s="929"/>
      <c r="L189" s="929"/>
      <c r="M189" s="929"/>
      <c r="N189" s="929"/>
      <c r="O189" s="929"/>
      <c r="P189" s="929"/>
      <c r="Q189" s="929"/>
      <c r="R189" s="929"/>
      <c r="S189" s="929"/>
      <c r="T189" s="929"/>
      <c r="U189" s="929"/>
      <c r="V189" s="929"/>
      <c r="W189" s="929"/>
      <c r="X189" s="929"/>
      <c r="Y189" s="929"/>
      <c r="Z189" s="929"/>
    </row>
    <row r="190" ht="15.75" customHeight="1">
      <c r="A190" s="929"/>
      <c r="B190" s="952"/>
      <c r="C190" s="952"/>
      <c r="D190" s="929"/>
      <c r="E190" s="929"/>
      <c r="F190" s="929"/>
      <c r="G190" s="929"/>
      <c r="H190" s="929"/>
      <c r="I190" s="929"/>
      <c r="J190" s="929"/>
      <c r="K190" s="929"/>
      <c r="L190" s="929"/>
      <c r="M190" s="929"/>
      <c r="N190" s="929"/>
      <c r="O190" s="929"/>
      <c r="P190" s="929"/>
      <c r="Q190" s="929"/>
      <c r="R190" s="929"/>
      <c r="S190" s="929"/>
      <c r="T190" s="929"/>
      <c r="U190" s="929"/>
      <c r="V190" s="929"/>
      <c r="W190" s="929"/>
      <c r="X190" s="929"/>
      <c r="Y190" s="929"/>
      <c r="Z190" s="929"/>
    </row>
    <row r="191" ht="15.75" customHeight="1">
      <c r="A191" s="929"/>
      <c r="B191" s="952"/>
      <c r="C191" s="952"/>
      <c r="D191" s="929"/>
      <c r="E191" s="929"/>
      <c r="F191" s="929"/>
      <c r="G191" s="929"/>
      <c r="H191" s="929"/>
      <c r="I191" s="929"/>
      <c r="J191" s="929"/>
      <c r="K191" s="929"/>
      <c r="L191" s="929"/>
      <c r="M191" s="929"/>
      <c r="N191" s="929"/>
      <c r="O191" s="929"/>
      <c r="P191" s="929"/>
      <c r="Q191" s="929"/>
      <c r="R191" s="929"/>
      <c r="S191" s="929"/>
      <c r="T191" s="929"/>
      <c r="U191" s="929"/>
      <c r="V191" s="929"/>
      <c r="W191" s="929"/>
      <c r="X191" s="929"/>
      <c r="Y191" s="929"/>
      <c r="Z191" s="929"/>
    </row>
    <row r="192" ht="15.75" customHeight="1">
      <c r="A192" s="929"/>
      <c r="B192" s="952"/>
      <c r="C192" s="952"/>
      <c r="D192" s="929"/>
      <c r="E192" s="929"/>
      <c r="F192" s="929"/>
      <c r="G192" s="929"/>
      <c r="H192" s="929"/>
      <c r="I192" s="929"/>
      <c r="J192" s="929"/>
      <c r="K192" s="929"/>
      <c r="L192" s="929"/>
      <c r="M192" s="929"/>
      <c r="N192" s="929"/>
      <c r="O192" s="929"/>
      <c r="P192" s="929"/>
      <c r="Q192" s="929"/>
      <c r="R192" s="929"/>
      <c r="S192" s="929"/>
      <c r="T192" s="929"/>
      <c r="U192" s="929"/>
      <c r="V192" s="929"/>
      <c r="W192" s="929"/>
      <c r="X192" s="929"/>
      <c r="Y192" s="929"/>
      <c r="Z192" s="929"/>
    </row>
    <row r="193" ht="15.75" customHeight="1">
      <c r="A193" s="929"/>
      <c r="B193" s="952"/>
      <c r="C193" s="952"/>
      <c r="D193" s="929"/>
      <c r="E193" s="929"/>
      <c r="F193" s="929"/>
      <c r="G193" s="929"/>
      <c r="H193" s="929"/>
      <c r="I193" s="929"/>
      <c r="J193" s="929"/>
      <c r="K193" s="929"/>
      <c r="L193" s="929"/>
      <c r="M193" s="929"/>
      <c r="N193" s="929"/>
      <c r="O193" s="929"/>
      <c r="P193" s="929"/>
      <c r="Q193" s="929"/>
      <c r="R193" s="929"/>
      <c r="S193" s="929"/>
      <c r="T193" s="929"/>
      <c r="U193" s="929"/>
      <c r="V193" s="929"/>
      <c r="W193" s="929"/>
      <c r="X193" s="929"/>
      <c r="Y193" s="929"/>
      <c r="Z193" s="929"/>
    </row>
    <row r="194" ht="15.75" customHeight="1">
      <c r="A194" s="929"/>
      <c r="B194" s="952"/>
      <c r="C194" s="952"/>
      <c r="D194" s="929"/>
      <c r="E194" s="929"/>
      <c r="F194" s="929"/>
      <c r="G194" s="929"/>
      <c r="H194" s="929"/>
      <c r="I194" s="929"/>
      <c r="J194" s="929"/>
      <c r="K194" s="929"/>
      <c r="L194" s="929"/>
      <c r="M194" s="929"/>
      <c r="N194" s="929"/>
      <c r="O194" s="929"/>
      <c r="P194" s="929"/>
      <c r="Q194" s="929"/>
      <c r="R194" s="929"/>
      <c r="S194" s="929"/>
      <c r="T194" s="929"/>
      <c r="U194" s="929"/>
      <c r="V194" s="929"/>
      <c r="W194" s="929"/>
      <c r="X194" s="929"/>
      <c r="Y194" s="929"/>
      <c r="Z194" s="929"/>
    </row>
    <row r="195" ht="15.75" customHeight="1">
      <c r="A195" s="929"/>
      <c r="B195" s="952"/>
      <c r="C195" s="952"/>
      <c r="D195" s="929"/>
      <c r="E195" s="929"/>
      <c r="F195" s="929"/>
      <c r="G195" s="929"/>
      <c r="H195" s="929"/>
      <c r="I195" s="929"/>
      <c r="J195" s="929"/>
      <c r="K195" s="929"/>
      <c r="L195" s="929"/>
      <c r="M195" s="929"/>
      <c r="N195" s="929"/>
      <c r="O195" s="929"/>
      <c r="P195" s="929"/>
      <c r="Q195" s="929"/>
      <c r="R195" s="929"/>
      <c r="S195" s="929"/>
      <c r="T195" s="929"/>
      <c r="U195" s="929"/>
      <c r="V195" s="929"/>
      <c r="W195" s="929"/>
      <c r="X195" s="929"/>
      <c r="Y195" s="929"/>
      <c r="Z195" s="929"/>
    </row>
    <row r="196" ht="15.75" customHeight="1">
      <c r="A196" s="929"/>
      <c r="B196" s="952"/>
      <c r="C196" s="952"/>
      <c r="D196" s="929"/>
      <c r="E196" s="929"/>
      <c r="F196" s="929"/>
      <c r="G196" s="929"/>
      <c r="H196" s="929"/>
      <c r="I196" s="929"/>
      <c r="J196" s="929"/>
      <c r="K196" s="929"/>
      <c r="L196" s="929"/>
      <c r="M196" s="929"/>
      <c r="N196" s="929"/>
      <c r="O196" s="929"/>
      <c r="P196" s="929"/>
      <c r="Q196" s="929"/>
      <c r="R196" s="929"/>
      <c r="S196" s="929"/>
      <c r="T196" s="929"/>
      <c r="U196" s="929"/>
      <c r="V196" s="929"/>
      <c r="W196" s="929"/>
      <c r="X196" s="929"/>
      <c r="Y196" s="929"/>
      <c r="Z196" s="929"/>
    </row>
    <row r="197" ht="15.75" customHeight="1">
      <c r="A197" s="929"/>
      <c r="B197" s="952"/>
      <c r="C197" s="952"/>
      <c r="D197" s="929"/>
      <c r="E197" s="929"/>
      <c r="F197" s="929"/>
      <c r="G197" s="929"/>
      <c r="H197" s="929"/>
      <c r="I197" s="929"/>
      <c r="J197" s="929"/>
      <c r="K197" s="929"/>
      <c r="L197" s="929"/>
      <c r="M197" s="929"/>
      <c r="N197" s="929"/>
      <c r="O197" s="929"/>
      <c r="P197" s="929"/>
      <c r="Q197" s="929"/>
      <c r="R197" s="929"/>
      <c r="S197" s="929"/>
      <c r="T197" s="929"/>
      <c r="U197" s="929"/>
      <c r="V197" s="929"/>
      <c r="W197" s="929"/>
      <c r="X197" s="929"/>
      <c r="Y197" s="929"/>
      <c r="Z197" s="929"/>
    </row>
    <row r="198" ht="15.75" customHeight="1">
      <c r="A198" s="929"/>
      <c r="B198" s="952"/>
      <c r="C198" s="952"/>
      <c r="D198" s="929"/>
      <c r="E198" s="929"/>
      <c r="F198" s="929"/>
      <c r="G198" s="929"/>
      <c r="H198" s="929"/>
      <c r="I198" s="929"/>
      <c r="J198" s="929"/>
      <c r="K198" s="929"/>
      <c r="L198" s="929"/>
      <c r="M198" s="929"/>
      <c r="N198" s="929"/>
      <c r="O198" s="929"/>
      <c r="P198" s="929"/>
      <c r="Q198" s="929"/>
      <c r="R198" s="929"/>
      <c r="S198" s="929"/>
      <c r="T198" s="929"/>
      <c r="U198" s="929"/>
      <c r="V198" s="929"/>
      <c r="W198" s="929"/>
      <c r="X198" s="929"/>
      <c r="Y198" s="929"/>
      <c r="Z198" s="929"/>
    </row>
    <row r="199" ht="15.75" customHeight="1">
      <c r="A199" s="929"/>
      <c r="B199" s="952"/>
      <c r="C199" s="952"/>
      <c r="D199" s="929"/>
      <c r="E199" s="929"/>
      <c r="F199" s="929"/>
      <c r="G199" s="929"/>
      <c r="H199" s="929"/>
      <c r="I199" s="929"/>
      <c r="J199" s="929"/>
      <c r="K199" s="929"/>
      <c r="L199" s="929"/>
      <c r="M199" s="929"/>
      <c r="N199" s="929"/>
      <c r="O199" s="929"/>
      <c r="P199" s="929"/>
      <c r="Q199" s="929"/>
      <c r="R199" s="929"/>
      <c r="S199" s="929"/>
      <c r="T199" s="929"/>
      <c r="U199" s="929"/>
      <c r="V199" s="929"/>
      <c r="W199" s="929"/>
      <c r="X199" s="929"/>
      <c r="Y199" s="929"/>
      <c r="Z199" s="929"/>
    </row>
    <row r="200" ht="15.75" customHeight="1">
      <c r="A200" s="929"/>
      <c r="B200" s="952"/>
      <c r="C200" s="952"/>
      <c r="D200" s="929"/>
      <c r="E200" s="929"/>
      <c r="F200" s="929"/>
      <c r="G200" s="929"/>
      <c r="H200" s="929"/>
      <c r="I200" s="929"/>
      <c r="J200" s="929"/>
      <c r="K200" s="929"/>
      <c r="L200" s="929"/>
      <c r="M200" s="929"/>
      <c r="N200" s="929"/>
      <c r="O200" s="929"/>
      <c r="P200" s="929"/>
      <c r="Q200" s="929"/>
      <c r="R200" s="929"/>
      <c r="S200" s="929"/>
      <c r="T200" s="929"/>
      <c r="U200" s="929"/>
      <c r="V200" s="929"/>
      <c r="W200" s="929"/>
      <c r="X200" s="929"/>
      <c r="Y200" s="929"/>
      <c r="Z200" s="929"/>
    </row>
    <row r="201" ht="15.75" customHeight="1">
      <c r="A201" s="929"/>
      <c r="B201" s="952"/>
      <c r="C201" s="952"/>
      <c r="D201" s="929"/>
      <c r="E201" s="929"/>
      <c r="F201" s="929"/>
      <c r="G201" s="929"/>
      <c r="H201" s="929"/>
      <c r="I201" s="929"/>
      <c r="J201" s="929"/>
      <c r="K201" s="929"/>
      <c r="L201" s="929"/>
      <c r="M201" s="929"/>
      <c r="N201" s="929"/>
      <c r="O201" s="929"/>
      <c r="P201" s="929"/>
      <c r="Q201" s="929"/>
      <c r="R201" s="929"/>
      <c r="S201" s="929"/>
      <c r="T201" s="929"/>
      <c r="U201" s="929"/>
      <c r="V201" s="929"/>
      <c r="W201" s="929"/>
      <c r="X201" s="929"/>
      <c r="Y201" s="929"/>
      <c r="Z201" s="929"/>
    </row>
    <row r="202" ht="15.75" customHeight="1">
      <c r="A202" s="929"/>
      <c r="B202" s="952"/>
      <c r="C202" s="952"/>
      <c r="D202" s="929"/>
      <c r="E202" s="929"/>
      <c r="F202" s="929"/>
      <c r="G202" s="929"/>
      <c r="H202" s="929"/>
      <c r="I202" s="929"/>
      <c r="J202" s="929"/>
      <c r="K202" s="929"/>
      <c r="L202" s="929"/>
      <c r="M202" s="929"/>
      <c r="N202" s="929"/>
      <c r="O202" s="929"/>
      <c r="P202" s="929"/>
      <c r="Q202" s="929"/>
      <c r="R202" s="929"/>
      <c r="S202" s="929"/>
      <c r="T202" s="929"/>
      <c r="U202" s="929"/>
      <c r="V202" s="929"/>
      <c r="W202" s="929"/>
      <c r="X202" s="929"/>
      <c r="Y202" s="929"/>
      <c r="Z202" s="929"/>
    </row>
    <row r="203" ht="15.75" customHeight="1">
      <c r="A203" s="929"/>
      <c r="B203" s="952"/>
      <c r="C203" s="952"/>
      <c r="D203" s="929"/>
      <c r="E203" s="929"/>
      <c r="F203" s="929"/>
      <c r="G203" s="929"/>
      <c r="H203" s="929"/>
      <c r="I203" s="929"/>
      <c r="J203" s="929"/>
      <c r="K203" s="929"/>
      <c r="L203" s="929"/>
      <c r="M203" s="929"/>
      <c r="N203" s="929"/>
      <c r="O203" s="929"/>
      <c r="P203" s="929"/>
      <c r="Q203" s="929"/>
      <c r="R203" s="929"/>
      <c r="S203" s="929"/>
      <c r="T203" s="929"/>
      <c r="U203" s="929"/>
      <c r="V203" s="929"/>
      <c r="W203" s="929"/>
      <c r="X203" s="929"/>
      <c r="Y203" s="929"/>
      <c r="Z203" s="929"/>
    </row>
    <row r="204" ht="15.75" customHeight="1">
      <c r="A204" s="929"/>
      <c r="B204" s="952"/>
      <c r="C204" s="952"/>
      <c r="D204" s="929"/>
      <c r="E204" s="929"/>
      <c r="F204" s="929"/>
      <c r="G204" s="929"/>
      <c r="H204" s="929"/>
      <c r="I204" s="929"/>
      <c r="J204" s="929"/>
      <c r="K204" s="929"/>
      <c r="L204" s="929"/>
      <c r="M204" s="929"/>
      <c r="N204" s="929"/>
      <c r="O204" s="929"/>
      <c r="P204" s="929"/>
      <c r="Q204" s="929"/>
      <c r="R204" s="929"/>
      <c r="S204" s="929"/>
      <c r="T204" s="929"/>
      <c r="U204" s="929"/>
      <c r="V204" s="929"/>
      <c r="W204" s="929"/>
      <c r="X204" s="929"/>
      <c r="Y204" s="929"/>
      <c r="Z204" s="929"/>
    </row>
    <row r="205" ht="15.75" customHeight="1">
      <c r="A205" s="929"/>
      <c r="B205" s="952"/>
      <c r="C205" s="952"/>
      <c r="D205" s="929"/>
      <c r="E205" s="929"/>
      <c r="F205" s="929"/>
      <c r="G205" s="929"/>
      <c r="H205" s="929"/>
      <c r="I205" s="929"/>
      <c r="J205" s="929"/>
      <c r="K205" s="929"/>
      <c r="L205" s="929"/>
      <c r="M205" s="929"/>
      <c r="N205" s="929"/>
      <c r="O205" s="929"/>
      <c r="P205" s="929"/>
      <c r="Q205" s="929"/>
      <c r="R205" s="929"/>
      <c r="S205" s="929"/>
      <c r="T205" s="929"/>
      <c r="U205" s="929"/>
      <c r="V205" s="929"/>
      <c r="W205" s="929"/>
      <c r="X205" s="929"/>
      <c r="Y205" s="929"/>
      <c r="Z205" s="929"/>
    </row>
    <row r="206" ht="15.75" customHeight="1">
      <c r="A206" s="929"/>
      <c r="B206" s="952"/>
      <c r="C206" s="952"/>
      <c r="D206" s="929"/>
      <c r="E206" s="929"/>
      <c r="F206" s="929"/>
      <c r="G206" s="929"/>
      <c r="H206" s="929"/>
      <c r="I206" s="929"/>
      <c r="J206" s="929"/>
      <c r="K206" s="929"/>
      <c r="L206" s="929"/>
      <c r="M206" s="929"/>
      <c r="N206" s="929"/>
      <c r="O206" s="929"/>
      <c r="P206" s="929"/>
      <c r="Q206" s="929"/>
      <c r="R206" s="929"/>
      <c r="S206" s="929"/>
      <c r="T206" s="929"/>
      <c r="U206" s="929"/>
      <c r="V206" s="929"/>
      <c r="W206" s="929"/>
      <c r="X206" s="929"/>
      <c r="Y206" s="929"/>
      <c r="Z206" s="929"/>
    </row>
    <row r="207" ht="15.75" customHeight="1">
      <c r="A207" s="929"/>
      <c r="B207" s="952"/>
      <c r="C207" s="952"/>
      <c r="D207" s="929"/>
      <c r="E207" s="929"/>
      <c r="F207" s="929"/>
      <c r="G207" s="929"/>
      <c r="H207" s="929"/>
      <c r="I207" s="929"/>
      <c r="J207" s="929"/>
      <c r="K207" s="929"/>
      <c r="L207" s="929"/>
      <c r="M207" s="929"/>
      <c r="N207" s="929"/>
      <c r="O207" s="929"/>
      <c r="P207" s="929"/>
      <c r="Q207" s="929"/>
      <c r="R207" s="929"/>
      <c r="S207" s="929"/>
      <c r="T207" s="929"/>
      <c r="U207" s="929"/>
      <c r="V207" s="929"/>
      <c r="W207" s="929"/>
      <c r="X207" s="929"/>
      <c r="Y207" s="929"/>
      <c r="Z207" s="929"/>
    </row>
    <row r="208" ht="15.75" customHeight="1">
      <c r="A208" s="929"/>
      <c r="B208" s="952"/>
      <c r="C208" s="952"/>
      <c r="D208" s="929"/>
      <c r="E208" s="929"/>
      <c r="F208" s="929"/>
      <c r="G208" s="929"/>
      <c r="H208" s="929"/>
      <c r="I208" s="929"/>
      <c r="J208" s="929"/>
      <c r="K208" s="929"/>
      <c r="L208" s="929"/>
      <c r="M208" s="929"/>
      <c r="N208" s="929"/>
      <c r="O208" s="929"/>
      <c r="P208" s="929"/>
      <c r="Q208" s="929"/>
      <c r="R208" s="929"/>
      <c r="S208" s="929"/>
      <c r="T208" s="929"/>
      <c r="U208" s="929"/>
      <c r="V208" s="929"/>
      <c r="W208" s="929"/>
      <c r="X208" s="929"/>
      <c r="Y208" s="929"/>
      <c r="Z208" s="929"/>
    </row>
    <row r="209" ht="15.75" customHeight="1">
      <c r="A209" s="929"/>
      <c r="B209" s="952"/>
      <c r="C209" s="952"/>
      <c r="D209" s="929"/>
      <c r="E209" s="929"/>
      <c r="F209" s="929"/>
      <c r="G209" s="929"/>
      <c r="H209" s="929"/>
      <c r="I209" s="929"/>
      <c r="J209" s="929"/>
      <c r="K209" s="929"/>
      <c r="L209" s="929"/>
      <c r="M209" s="929"/>
      <c r="N209" s="929"/>
      <c r="O209" s="929"/>
      <c r="P209" s="929"/>
      <c r="Q209" s="929"/>
      <c r="R209" s="929"/>
      <c r="S209" s="929"/>
      <c r="T209" s="929"/>
      <c r="U209" s="929"/>
      <c r="V209" s="929"/>
      <c r="W209" s="929"/>
      <c r="X209" s="929"/>
      <c r="Y209" s="929"/>
      <c r="Z209" s="929"/>
    </row>
    <row r="210" ht="15.75" customHeight="1">
      <c r="A210" s="929"/>
      <c r="B210" s="952"/>
      <c r="C210" s="952"/>
      <c r="D210" s="929"/>
      <c r="E210" s="929"/>
      <c r="F210" s="929"/>
      <c r="G210" s="929"/>
      <c r="H210" s="929"/>
      <c r="I210" s="929"/>
      <c r="J210" s="929"/>
      <c r="K210" s="929"/>
      <c r="L210" s="929"/>
      <c r="M210" s="929"/>
      <c r="N210" s="929"/>
      <c r="O210" s="929"/>
      <c r="P210" s="929"/>
      <c r="Q210" s="929"/>
      <c r="R210" s="929"/>
      <c r="S210" s="929"/>
      <c r="T210" s="929"/>
      <c r="U210" s="929"/>
      <c r="V210" s="929"/>
      <c r="W210" s="929"/>
      <c r="X210" s="929"/>
      <c r="Y210" s="929"/>
      <c r="Z210" s="929"/>
    </row>
    <row r="211" ht="15.75" customHeight="1">
      <c r="A211" s="929"/>
      <c r="B211" s="952"/>
      <c r="C211" s="952"/>
      <c r="D211" s="929"/>
      <c r="E211" s="929"/>
      <c r="F211" s="929"/>
      <c r="G211" s="929"/>
      <c r="H211" s="929"/>
      <c r="I211" s="929"/>
      <c r="J211" s="929"/>
      <c r="K211" s="929"/>
      <c r="L211" s="929"/>
      <c r="M211" s="929"/>
      <c r="N211" s="929"/>
      <c r="O211" s="929"/>
      <c r="P211" s="929"/>
      <c r="Q211" s="929"/>
      <c r="R211" s="929"/>
      <c r="S211" s="929"/>
      <c r="T211" s="929"/>
      <c r="U211" s="929"/>
      <c r="V211" s="929"/>
      <c r="W211" s="929"/>
      <c r="X211" s="929"/>
      <c r="Y211" s="929"/>
      <c r="Z211" s="929"/>
    </row>
    <row r="212" ht="15.75" customHeight="1">
      <c r="A212" s="929"/>
      <c r="B212" s="952"/>
      <c r="C212" s="952"/>
      <c r="D212" s="929"/>
      <c r="E212" s="929"/>
      <c r="F212" s="929"/>
      <c r="G212" s="929"/>
      <c r="H212" s="929"/>
      <c r="I212" s="929"/>
      <c r="J212" s="929"/>
      <c r="K212" s="929"/>
      <c r="L212" s="929"/>
      <c r="M212" s="929"/>
      <c r="N212" s="929"/>
      <c r="O212" s="929"/>
      <c r="P212" s="929"/>
      <c r="Q212" s="929"/>
      <c r="R212" s="929"/>
      <c r="S212" s="929"/>
      <c r="T212" s="929"/>
      <c r="U212" s="929"/>
      <c r="V212" s="929"/>
      <c r="W212" s="929"/>
      <c r="X212" s="929"/>
      <c r="Y212" s="929"/>
      <c r="Z212" s="929"/>
    </row>
    <row r="213" ht="15.75" customHeight="1">
      <c r="A213" s="929"/>
      <c r="B213" s="952"/>
      <c r="C213" s="952"/>
      <c r="D213" s="929"/>
      <c r="E213" s="929"/>
      <c r="F213" s="929"/>
      <c r="G213" s="929"/>
      <c r="H213" s="929"/>
      <c r="I213" s="929"/>
      <c r="J213" s="929"/>
      <c r="K213" s="929"/>
      <c r="L213" s="929"/>
      <c r="M213" s="929"/>
      <c r="N213" s="929"/>
      <c r="O213" s="929"/>
      <c r="P213" s="929"/>
      <c r="Q213" s="929"/>
      <c r="R213" s="929"/>
      <c r="S213" s="929"/>
      <c r="T213" s="929"/>
      <c r="U213" s="929"/>
      <c r="V213" s="929"/>
      <c r="W213" s="929"/>
      <c r="X213" s="929"/>
      <c r="Y213" s="929"/>
      <c r="Z213" s="929"/>
    </row>
    <row r="214" ht="15.75" customHeight="1">
      <c r="A214" s="929"/>
      <c r="B214" s="952"/>
      <c r="C214" s="952"/>
      <c r="D214" s="929"/>
      <c r="E214" s="929"/>
      <c r="F214" s="929"/>
      <c r="G214" s="929"/>
      <c r="H214" s="929"/>
      <c r="I214" s="929"/>
      <c r="J214" s="929"/>
      <c r="K214" s="929"/>
      <c r="L214" s="929"/>
      <c r="M214" s="929"/>
      <c r="N214" s="929"/>
      <c r="O214" s="929"/>
      <c r="P214" s="929"/>
      <c r="Q214" s="929"/>
      <c r="R214" s="929"/>
      <c r="S214" s="929"/>
      <c r="T214" s="929"/>
      <c r="U214" s="929"/>
      <c r="V214" s="929"/>
      <c r="W214" s="929"/>
      <c r="X214" s="929"/>
      <c r="Y214" s="929"/>
      <c r="Z214" s="929"/>
    </row>
    <row r="215" ht="15.75" customHeight="1">
      <c r="A215" s="929"/>
      <c r="B215" s="952"/>
      <c r="C215" s="952"/>
      <c r="D215" s="929"/>
      <c r="E215" s="929"/>
      <c r="F215" s="929"/>
      <c r="G215" s="929"/>
      <c r="H215" s="929"/>
      <c r="I215" s="929"/>
      <c r="J215" s="929"/>
      <c r="K215" s="929"/>
      <c r="L215" s="929"/>
      <c r="M215" s="929"/>
      <c r="N215" s="929"/>
      <c r="O215" s="929"/>
      <c r="P215" s="929"/>
      <c r="Q215" s="929"/>
      <c r="R215" s="929"/>
      <c r="S215" s="929"/>
      <c r="T215" s="929"/>
      <c r="U215" s="929"/>
      <c r="V215" s="929"/>
      <c r="W215" s="929"/>
      <c r="X215" s="929"/>
      <c r="Y215" s="929"/>
      <c r="Z215" s="929"/>
    </row>
    <row r="216" ht="15.75" customHeight="1">
      <c r="A216" s="929"/>
      <c r="B216" s="952"/>
      <c r="C216" s="952"/>
      <c r="D216" s="929"/>
      <c r="E216" s="929"/>
      <c r="F216" s="929"/>
      <c r="G216" s="929"/>
      <c r="H216" s="929"/>
      <c r="I216" s="929"/>
      <c r="J216" s="929"/>
      <c r="K216" s="929"/>
      <c r="L216" s="929"/>
      <c r="M216" s="929"/>
      <c r="N216" s="929"/>
      <c r="O216" s="929"/>
      <c r="P216" s="929"/>
      <c r="Q216" s="929"/>
      <c r="R216" s="929"/>
      <c r="S216" s="929"/>
      <c r="T216" s="929"/>
      <c r="U216" s="929"/>
      <c r="V216" s="929"/>
      <c r="W216" s="929"/>
      <c r="X216" s="929"/>
      <c r="Y216" s="929"/>
      <c r="Z216" s="929"/>
    </row>
    <row r="217" ht="15.75" customHeight="1">
      <c r="A217" s="929"/>
      <c r="B217" s="952"/>
      <c r="C217" s="952"/>
      <c r="D217" s="929"/>
      <c r="E217" s="929"/>
      <c r="F217" s="929"/>
      <c r="G217" s="929"/>
      <c r="H217" s="929"/>
      <c r="I217" s="929"/>
      <c r="J217" s="929"/>
      <c r="K217" s="929"/>
      <c r="L217" s="929"/>
      <c r="M217" s="929"/>
      <c r="N217" s="929"/>
      <c r="O217" s="929"/>
      <c r="P217" s="929"/>
      <c r="Q217" s="929"/>
      <c r="R217" s="929"/>
      <c r="S217" s="929"/>
      <c r="T217" s="929"/>
      <c r="U217" s="929"/>
      <c r="V217" s="929"/>
      <c r="W217" s="929"/>
      <c r="X217" s="929"/>
      <c r="Y217" s="929"/>
      <c r="Z217" s="929"/>
    </row>
    <row r="218" ht="15.75" customHeight="1">
      <c r="A218" s="929"/>
      <c r="B218" s="952"/>
      <c r="C218" s="952"/>
      <c r="D218" s="929"/>
      <c r="E218" s="929"/>
      <c r="F218" s="929"/>
      <c r="G218" s="929"/>
      <c r="H218" s="929"/>
      <c r="I218" s="929"/>
      <c r="J218" s="929"/>
      <c r="K218" s="929"/>
      <c r="L218" s="929"/>
      <c r="M218" s="929"/>
      <c r="N218" s="929"/>
      <c r="O218" s="929"/>
      <c r="P218" s="929"/>
      <c r="Q218" s="929"/>
      <c r="R218" s="929"/>
      <c r="S218" s="929"/>
      <c r="T218" s="929"/>
      <c r="U218" s="929"/>
      <c r="V218" s="929"/>
      <c r="W218" s="929"/>
      <c r="X218" s="929"/>
      <c r="Y218" s="929"/>
      <c r="Z218" s="929"/>
    </row>
    <row r="219" ht="15.75" customHeight="1">
      <c r="A219" s="929"/>
      <c r="B219" s="952"/>
      <c r="C219" s="952"/>
      <c r="D219" s="929"/>
      <c r="E219" s="929"/>
      <c r="F219" s="929"/>
      <c r="G219" s="929"/>
      <c r="H219" s="929"/>
      <c r="I219" s="929"/>
      <c r="J219" s="929"/>
      <c r="K219" s="929"/>
      <c r="L219" s="929"/>
      <c r="M219" s="929"/>
      <c r="N219" s="929"/>
      <c r="O219" s="929"/>
      <c r="P219" s="929"/>
      <c r="Q219" s="929"/>
      <c r="R219" s="929"/>
      <c r="S219" s="929"/>
      <c r="T219" s="929"/>
      <c r="U219" s="929"/>
      <c r="V219" s="929"/>
      <c r="W219" s="929"/>
      <c r="X219" s="929"/>
      <c r="Y219" s="929"/>
      <c r="Z219" s="929"/>
    </row>
    <row r="220" ht="15.75" customHeight="1">
      <c r="A220" s="929"/>
      <c r="B220" s="952"/>
      <c r="C220" s="952"/>
      <c r="D220" s="929"/>
      <c r="E220" s="929"/>
      <c r="F220" s="929"/>
      <c r="G220" s="929"/>
      <c r="H220" s="929"/>
      <c r="I220" s="929"/>
      <c r="J220" s="929"/>
      <c r="K220" s="929"/>
      <c r="L220" s="929"/>
      <c r="M220" s="929"/>
      <c r="N220" s="929"/>
      <c r="O220" s="929"/>
      <c r="P220" s="929"/>
      <c r="Q220" s="929"/>
      <c r="R220" s="929"/>
      <c r="S220" s="929"/>
      <c r="T220" s="929"/>
      <c r="U220" s="929"/>
      <c r="V220" s="929"/>
      <c r="W220" s="929"/>
      <c r="X220" s="929"/>
      <c r="Y220" s="929"/>
      <c r="Z220" s="929"/>
    </row>
    <row r="221" ht="15.75" customHeight="1">
      <c r="A221" s="7"/>
      <c r="B221" s="7"/>
      <c r="C221" s="7"/>
      <c r="D221" s="7"/>
      <c r="E221" s="7"/>
      <c r="F221" s="7"/>
      <c r="G221" s="7"/>
      <c r="H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